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Project" sheetId="3" state="visible" r:id="rId5"/>
    <sheet name="Stages" sheetId="4" state="visible" r:id="rId6"/>
    <sheet name="Payments" sheetId="5" state="visible" r:id="rId7"/>
    <sheet name="Proof Checklist" sheetId="6" state="visible" r:id="rId8"/>
    <sheet name="WhatsApp" sheetId="7" state="visible" r:id="rId9"/>
    <sheet name="Before You Buil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<sst xmlns="http://schemas.openxmlformats.org/spreadsheetml/2006/main" count="253" uniqueCount="188">
  <si>
    <t xml:space="preserve">Stage-Pay Tracker</t>
  </si>
  <si>
    <t xml:space="preserve">Build at home from abroad. No proof, no payment.</t>
  </si>
  <si>
    <t xml:space="preserve">How it works</t>
  </si>
  <si>
    <t xml:space="preserve">1</t>
  </si>
  <si>
    <t xml:space="preserve">Fill in the Project tab: your builder's name, location and start date.</t>
  </si>
  <si>
    <t xml:space="preserve">2</t>
  </si>
  <si>
    <t xml:space="preserve">On the Stages tab, enter the agreed price for each stage. Rename or adjust stages to match your contract.</t>
  </si>
  <si>
    <t xml:space="preserve">3</t>
  </si>
  <si>
    <t xml:space="preserve">Check the Proof Checklist. Each stage has a list of photos, videos and receipts to ask for. Add or remove items to suit your build.</t>
  </si>
  <si>
    <t xml:space="preserve">4</t>
  </si>
  <si>
    <t xml:space="preserve">Before paying for a stage, open the WhatsApp tab. It writes the message asking for any missing proof. Copy it and send it to your builder.</t>
  </si>
  <si>
    <t xml:space="preserve">5</t>
  </si>
  <si>
    <t xml:space="preserve">As proof arrives, set 'Received?' to Yes on the Proof Checklist. Paste a link to where you saved the photo or video.</t>
  </si>
  <si>
    <t xml:space="preserve">6</t>
  </si>
  <si>
    <t xml:space="preserve">Every time you send money, add a row to the Payments tab. The Dashboard updates by itself.</t>
  </si>
  <si>
    <t xml:space="preserve">The rule</t>
  </si>
  <si>
    <t xml:space="preserve">•</t>
  </si>
  <si>
    <t xml:space="preserve">A stage is Verified only when money has been sent AND every proof item is received.</t>
  </si>
  <si>
    <t xml:space="preserve">The next stage stays Locked until the previous one is Verified. Don't send money to a locked stage.</t>
  </si>
  <si>
    <t xml:space="preserve">'Unproven' on the Dashboard is money you've sent that isn't backed by proof yet. Aim to keep it at $0 before each new payment.</t>
  </si>
  <si>
    <t xml:space="preserve">Colour key</t>
  </si>
  <si>
    <t xml:space="preserve">Yellow cells: type here</t>
  </si>
  <si>
    <t xml:space="preserve">White cells: worked out for you, so don't type over them</t>
  </si>
  <si>
    <t xml:space="preserve">Tabs</t>
  </si>
  <si>
    <t xml:space="preserve">Dashboard: totals, progress and your next step</t>
  </si>
  <si>
    <t xml:space="preserve">Project: your project details</t>
  </si>
  <si>
    <t xml:space="preserve">Stages: agreed price, money sent and status for each stage</t>
  </si>
  <si>
    <t xml:space="preserve">Payments: every transfer you make</t>
  </si>
  <si>
    <t xml:space="preserve">Proof Checklist: what to ask for at each stage, and what you've received</t>
  </si>
  <si>
    <t xml:space="preserve">WhatsApp: ready-to-send messages for your builder and family</t>
  </si>
  <si>
    <t xml:space="preserve">Before You Build: checks to do first, and red flags to watch for</t>
  </si>
  <si>
    <t xml:space="preserve">Using Google Sheets</t>
  </si>
  <si>
    <t xml:space="preserve">Upload this file to Google Drive, then open it with Google Sheets (or go to File &gt; Import in a new sheet). Everything works on a phone in the Google Sheets app.</t>
  </si>
  <si>
    <t xml:space="preserve">Important</t>
  </si>
  <si>
    <t xml:space="preserve">Stage-Pay is a record-keeping tool. It isn't legal, financial or engineering advice, and it can't guarantee how a builder behaves. For large projects, consider an independent inspector or engineer to check the work on site.</t>
  </si>
  <si>
    <t xml:space="preserve">Total budget</t>
  </si>
  <si>
    <t xml:space="preserve">Sent</t>
  </si>
  <si>
    <t xml:space="preserve">Verified built</t>
  </si>
  <si>
    <t xml:space="preserve">Unproven</t>
  </si>
  <si>
    <t xml:space="preserve">Budget left</t>
  </si>
  <si>
    <t xml:space="preserve">Verified</t>
  </si>
  <si>
    <t xml:space="preserve">Sent, no proof yet</t>
  </si>
  <si>
    <t xml:space="preserve">(Bars show share of total budget)</t>
  </si>
  <si>
    <t xml:space="preserve">Where you are now</t>
  </si>
  <si>
    <t xml:space="preserve">Current stage</t>
  </si>
  <si>
    <t xml:space="preserve">Status</t>
  </si>
  <si>
    <t xml:space="preserve">Next step</t>
  </si>
  <si>
    <t xml:space="preserve">Payment warnings</t>
  </si>
  <si>
    <t xml:space="preserve">All stages</t>
  </si>
  <si>
    <t xml:space="preserve">Stage</t>
  </si>
  <si>
    <t xml:space="preserve">Agreed</t>
  </si>
  <si>
    <t xml:space="preserve">Proof</t>
  </si>
  <si>
    <t xml:space="preserve">Project details</t>
  </si>
  <si>
    <t xml:space="preserve">Fill in the yellow cells.</t>
  </si>
  <si>
    <t xml:space="preserve">Project name</t>
  </si>
  <si>
    <t xml:space="preserve">e.g. 4-room house</t>
  </si>
  <si>
    <t xml:space="preserve">Location / stand number</t>
  </si>
  <si>
    <t xml:space="preserve">e.g. Stand 1234, Chitungwiza</t>
  </si>
  <si>
    <t xml:space="preserve">Builder name</t>
  </si>
  <si>
    <t xml:space="preserve">Used in your WhatsApp messages</t>
  </si>
  <si>
    <t xml:space="preserve">Builder WhatsApp number</t>
  </si>
  <si>
    <t xml:space="preserve">Site contact (family or friend)</t>
  </si>
  <si>
    <t xml:space="preserve">Someone you trust who can visit the site</t>
  </si>
  <si>
    <t xml:space="preserve">Start date</t>
  </si>
  <si>
    <t xml:space="preserve">Currency</t>
  </si>
  <si>
    <t xml:space="preserve">USD</t>
  </si>
  <si>
    <t xml:space="preserve">All amounts in this tracker use this currency</t>
  </si>
  <si>
    <t xml:space="preserve">Stages</t>
  </si>
  <si>
    <t xml:space="preserve">Enter the agreed price for each stage (yellow). Everything else updates from the Payments and Proof Checklist tabs.</t>
  </si>
  <si>
    <t xml:space="preserve">#</t>
  </si>
  <si>
    <t xml:space="preserve">Agreed price</t>
  </si>
  <si>
    <t xml:space="preserve">Left to pay</t>
  </si>
  <si>
    <t xml:space="preserve">Proof items</t>
  </si>
  <si>
    <t xml:space="preserve">Proof received</t>
  </si>
  <si>
    <t xml:space="preserve">Proof %</t>
  </si>
  <si>
    <t xml:space="preserve">Open?</t>
  </si>
  <si>
    <t xml:space="preserve">Foundation &amp; footings</t>
  </si>
  <si>
    <t xml:space="preserve">Slab level (DPC &amp; floor slab)</t>
  </si>
  <si>
    <t xml:space="preserve">Window level</t>
  </si>
  <si>
    <t xml:space="preserve">Roof level (lintels &amp; wall plate)</t>
  </si>
  <si>
    <t xml:space="preserve">Roofing</t>
  </si>
  <si>
    <t xml:space="preserve">Plumbing &amp; electrical (first fix)</t>
  </si>
  <si>
    <t xml:space="preserve">Plaster &amp; ceilings</t>
  </si>
  <si>
    <t xml:space="preserve">Floors, doors &amp; finishing</t>
  </si>
  <si>
    <t xml:space="preserve">Total</t>
  </si>
  <si>
    <t xml:space="preserve">Rows 9 and 10 are spare. Type a stage name to use them. 'Open?' is a helper column the Dashboard uses.</t>
  </si>
  <si>
    <t xml:space="preserve">Payments</t>
  </si>
  <si>
    <t xml:space="preserve">Add a row every time you send money. Pick the stage number (1–10) the money is for.</t>
  </si>
  <si>
    <t xml:space="preserve">Example of a filled row:  4 Mar 2026  |  1  |  (stage fills in)  |  $3,000  |  Mukuru  |  Tendai M.  |  Foundation materials</t>
  </si>
  <si>
    <t xml:space="preserve">Date</t>
  </si>
  <si>
    <t xml:space="preserve">Stage #</t>
  </si>
  <si>
    <t xml:space="preserve">Amount</t>
  </si>
  <si>
    <t xml:space="preserve">Method</t>
  </si>
  <si>
    <t xml:space="preserve">Paid to</t>
  </si>
  <si>
    <t xml:space="preserve">What it was for / reference</t>
  </si>
  <si>
    <t xml:space="preserve">Check</t>
  </si>
  <si>
    <t xml:space="preserve">Total sent</t>
  </si>
  <si>
    <t xml:space="preserve">Proof Checklist</t>
  </si>
  <si>
    <t xml:space="preserve">What to ask for before each stage is paid. Set 'Received?' to Yes when it arrives. Add your own items in the empty rows at the bottom.</t>
  </si>
  <si>
    <t xml:space="preserve">Proof to ask for</t>
  </si>
  <si>
    <t xml:space="preserve">Received?</t>
  </si>
  <si>
    <t xml:space="preserve">Date received</t>
  </si>
  <si>
    <t xml:space="preserve">Where it's saved (link or note)</t>
  </si>
  <si>
    <t xml:space="preserve">msg</t>
  </si>
  <si>
    <t xml:space="preserve">Setting-out photo: pegs and strings match the approved plan</t>
  </si>
  <si>
    <t xml:space="preserve">No</t>
  </si>
  <si>
    <t xml:space="preserve">Trenches with a tape measure showing depth and width</t>
  </si>
  <si>
    <t xml:space="preserve">Footings poured: photo of every trench</t>
  </si>
  <si>
    <t xml:space="preserve">Foundation brickwork up to ground level: photo of each side</t>
  </si>
  <si>
    <t xml:space="preserve">Video walking round the whole foundation</t>
  </si>
  <si>
    <t xml:space="preserve">Receipts: cement, sand, stone, bricks</t>
  </si>
  <si>
    <t xml:space="preserve">Brickwork to slab level: photo of each side</t>
  </si>
  <si>
    <t xml:space="preserve">Damp-proof course (DPC) visible all round</t>
  </si>
  <si>
    <t xml:space="preserve">Hardcore filled and compacted</t>
  </si>
  <si>
    <t xml:space="preserve">Slab poured: photo across the whole floor</t>
  </si>
  <si>
    <t xml:space="preserve">Receipts: cement, mesh, DPC, hardcore</t>
  </si>
  <si>
    <t xml:space="preserve">Council stage inspection signed (if your council requires it)</t>
  </si>
  <si>
    <t xml:space="preserve">Photo of each outside wall</t>
  </si>
  <si>
    <t xml:space="preserve">Window frames set in place</t>
  </si>
  <si>
    <t xml:space="preserve">Door frames set in place</t>
  </si>
  <si>
    <t xml:space="preserve">Video walking through every room</t>
  </si>
  <si>
    <t xml:space="preserve">Receipts: bricks, cement, frames</t>
  </si>
  <si>
    <t xml:space="preserve">Lintels over every door and window</t>
  </si>
  <si>
    <t xml:space="preserve">Ring beam / brickforce at wall plate</t>
  </si>
  <si>
    <t xml:space="preserve">Walls at full height: photo of each side</t>
  </si>
  <si>
    <t xml:space="preserve">Video walk-round inside and outside</t>
  </si>
  <si>
    <t xml:space="preserve">Receipts: steel, cement, bricks</t>
  </si>
  <si>
    <t xml:space="preserve">Trusses up: photo from two corners</t>
  </si>
  <si>
    <t xml:space="preserve">Roof covering complete: photo from the road</t>
  </si>
  <si>
    <t xml:space="preserve">Fascia boards and gutters fitted</t>
  </si>
  <si>
    <t xml:space="preserve">Photo of the roof from inside, before ceilings</t>
  </si>
  <si>
    <t xml:space="preserve">Receipts: timber, sheets/tiles, nails, straps</t>
  </si>
  <si>
    <t xml:space="preserve">Conduits and boxes in the walls: photo of each room</t>
  </si>
  <si>
    <t xml:space="preserve">Water pipes and drainage laid</t>
  </si>
  <si>
    <t xml:space="preserve">Septic tank or sewer connection: photo</t>
  </si>
  <si>
    <t xml:space="preserve">Name and phone number of the electrician and plumber</t>
  </si>
  <si>
    <t xml:space="preserve">Receipts: cables, pipes, fittings</t>
  </si>
  <si>
    <t xml:space="preserve">Inside plaster done: video of every room</t>
  </si>
  <si>
    <t xml:space="preserve">Outside plaster done: photo of each side</t>
  </si>
  <si>
    <t xml:space="preserve">Ceilings fitted: photo of each room</t>
  </si>
  <si>
    <t xml:space="preserve">Receipts: cement, plaster sand, ceiling boards</t>
  </si>
  <si>
    <t xml:space="preserve">Floor screed or tiles done: video of every room</t>
  </si>
  <si>
    <t xml:space="preserve">Doors hung and locks fitted</t>
  </si>
  <si>
    <t xml:space="preserve">Window glass fitted</t>
  </si>
  <si>
    <t xml:space="preserve">Painting done inside and outside</t>
  </si>
  <si>
    <t xml:space="preserve">Sinks, toilet, lights and switches installed</t>
  </si>
  <si>
    <t xml:space="preserve">Final receipts and handover of keys</t>
  </si>
  <si>
    <t xml:space="preserve">WhatsApp messages</t>
  </si>
  <si>
    <t xml:space="preserve">Copy a message, paste it into WhatsApp and send. Your builder's name comes from the Project tab.</t>
  </si>
  <si>
    <t xml:space="preserve">Stage to ask about</t>
  </si>
  <si>
    <t xml:space="preserve">← Picks your current stage. Type a different number (1–10) to change it.</t>
  </si>
  <si>
    <t xml:space="preserve">Stage name</t>
  </si>
  <si>
    <t xml:space="preserve">Missing proof</t>
  </si>
  <si>
    <t xml:space="preserve">Message: ask for missing proof</t>
  </si>
  <si>
    <t xml:space="preserve">Copy the cell on the right →</t>
  </si>
  <si>
    <t xml:space="preserve">More ready-made messages</t>
  </si>
  <si>
    <t xml:space="preserve">Before work starts: agree the rule</t>
  </si>
  <si>
    <t xml:space="preserve">Proof is late</t>
  </si>
  <si>
    <t xml:space="preserve">Holding a payment politely</t>
  </si>
  <si>
    <t xml:space="preserve">Price has gone up</t>
  </si>
  <si>
    <t xml:space="preserve">For family managing the site</t>
  </si>
  <si>
    <t xml:space="preserve">Payment sent</t>
  </si>
  <si>
    <t xml:space="preserve">Before you build</t>
  </si>
  <si>
    <t xml:space="preserve">Do these checks before you send the first payment. Mark each one Yes when it's done.</t>
  </si>
  <si>
    <t xml:space="preserve">Done?</t>
  </si>
  <si>
    <t xml:space="preserve">Notes</t>
  </si>
  <si>
    <t xml:space="preserve">The stand is legally yours: title deed, or cession / agreement of sale, checked with the Deeds Registry, the council or the developer, in YOUR name</t>
  </si>
  <si>
    <t xml:space="preserve">You've seen the stand's beacons (in person, by someone you trust, or on a live video call)</t>
  </si>
  <si>
    <t xml:space="preserve">You know what servicing is done (water, sewer, roads) and what it will cost if it isn't</t>
  </si>
  <si>
    <t xml:space="preserve">Building plans are approved by the local council before any work starts</t>
  </si>
  <si>
    <t xml:space="preserve">You've met the builder (in person or on video) and seen at least 2 houses they've built</t>
  </si>
  <si>
    <t xml:space="preserve">You've spoken to at least one past client of the builder</t>
  </si>
  <si>
    <t xml:space="preserve">Written agreement signed: what will be built, price per stage, timeline, who buys materials, what happens if work stops</t>
  </si>
  <si>
    <t xml:space="preserve">Payment schedule agreed: money per stage, and the next stage paid only after proof</t>
  </si>
  <si>
    <t xml:space="preserve">Proof list sent to the builder before work starts (WhatsApp tab, 'Before work starts')</t>
  </si>
  <si>
    <t xml:space="preserve">Someone you trust, who isn't the builder, can visit the site now and then</t>
  </si>
  <si>
    <t xml:space="preserve">Where possible, you pay material suppliers directly and keep their receipts</t>
  </si>
  <si>
    <t xml:space="preserve">One folder (e.g. Google Drive) for all photos, videos, receipts and agreements</t>
  </si>
  <si>
    <t xml:space="preserve">Checks done</t>
  </si>
  <si>
    <t xml:space="preserve">Red flags: stop and ask questions if you see these</t>
  </si>
  <si>
    <t xml:space="preserve">⚑  Asks for most of the money up front, before any work</t>
  </si>
  <si>
    <t xml:space="preserve">⚑  Asks you to send money to a different person or account than you agreed</t>
  </si>
  <si>
    <t xml:space="preserve">⚑  Photos are always close-ups, from the same angle, or there's never a video</t>
  </si>
  <si>
    <t xml:space="preserve">⚑  Says 'prices went up' but can't show a supplier quote or receipt</t>
  </si>
  <si>
    <t xml:space="preserve">⚑  Work has stalled, but requests for money keep coming</t>
  </si>
  <si>
    <t xml:space="preserve">⚑  Pressure to pay today: 'the materials will be gone' or 'the price changes tomorrow'</t>
  </si>
  <si>
    <t xml:space="preserve">⚑  Becomes hard to reach right after you send a payment</t>
  </si>
  <si>
    <t xml:space="preserve">⚑  Seller can't show the stand beacons, or rushes you to pay before you've checked ownership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</si>
</sst>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%"/>
    <numFmt numFmtId="167" formatCode="d\ mmm\ yyyy"/>
    <numFmt numFmtId="168" formatCode="General"/>
    <numFmt numFmtId="169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2321"/>
      <name val="Arial"/>
      <family val="0"/>
      <charset val="1"/>
    </font>
    <font>
      <sz val="10"/>
      <color rgb="FF5B6360"/>
      <name val="Arial"/>
      <family val="0"/>
      <charset val="1"/>
    </font>
    <font>
      <b val="true"/>
      <sz val="12"/>
      <color rgb="FFB4492B"/>
      <name val="Arial"/>
      <family val="0"/>
      <charset val="1"/>
    </font>
    <font>
      <b val="true"/>
      <sz val="10"/>
      <color rgb="FFB4492B"/>
      <name val="Arial"/>
      <family val="0"/>
      <charset val="1"/>
    </font>
    <font>
      <sz val="10"/>
      <color rgb="FF1D2321"/>
      <name val="Arial"/>
      <family val="0"/>
      <charset val="1"/>
    </font>
    <font>
      <sz val="10"/>
      <color rgb="FFB4492B"/>
      <name val="Arial"/>
      <family val="0"/>
      <charset val="1"/>
    </font>
    <font>
      <b val="true"/>
      <sz val="9"/>
      <color rgb="FF5B6360"/>
      <name val="Arial"/>
      <family val="0"/>
      <charset val="1"/>
    </font>
    <font>
      <b val="true"/>
      <sz val="16"/>
      <color rgb="FF1D2321"/>
      <name val="Arial"/>
      <family val="0"/>
      <charset val="1"/>
    </font>
    <font>
      <b val="true"/>
      <sz val="10"/>
      <color rgb="FF1D2321"/>
      <name val="Arial"/>
      <family val="0"/>
      <charset val="1"/>
    </font>
    <font>
      <sz val="10"/>
      <color rgb="FF2F6B4F"/>
      <name val="Arial"/>
      <family val="0"/>
      <charset val="1"/>
    </font>
    <font>
      <i val="true"/>
      <sz val="8"/>
      <color rgb="FF5B63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FBF"/>
      <name val="Arial"/>
      <family val="0"/>
      <charset val="1"/>
    </font>
    <font>
      <i val="true"/>
      <sz val="9"/>
      <color rgb="FF5B6360"/>
      <name val="Arial"/>
      <family val="0"/>
      <charset val="1"/>
    </font>
    <font>
      <sz val="9"/>
      <color rgb="FF5B6360"/>
      <name val="Arial"/>
      <family val="0"/>
      <charset val="1"/>
    </font>
    <font>
      <sz val="8"/>
      <color rgb="FF5B636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7ECD2"/>
      </patternFill>
    </fill>
    <fill>
      <patternFill patternType="solid">
        <fgColor rgb="FFF3F2EE"/>
        <bgColor rgb="FFF7ECD2"/>
      </patternFill>
    </fill>
    <fill>
      <patternFill patternType="solid">
        <fgColor rgb="FFB44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8D1"/>
      </left>
      <right/>
      <top style="thin">
        <color rgb="FFD9D8D1"/>
      </top>
      <bottom style="thin">
        <color rgb="FFD9D8D1"/>
      </bottom>
      <diagonal/>
    </border>
    <border diagonalUp="false" diagonalDown="false">
      <left style="thin">
        <color rgb="FFD9D8D1"/>
      </left>
      <right style="thin">
        <color rgb="FFD9D8D1"/>
      </right>
      <top style="thin">
        <color rgb="FFD9D8D1"/>
      </top>
      <bottom style="thin">
        <color rgb="FFD9D8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B4492B"/>
        <sz val="16"/>
      </font>
    </dxf>
    <dxf>
      <font>
        <name val="Arial"/>
        <charset val="1"/>
        <family val="0"/>
        <b val="1"/>
        <color rgb="FF2F6B4F"/>
        <sz val="16"/>
      </font>
    </dxf>
    <dxf>
      <font>
        <name val="Arial"/>
        <charset val="1"/>
        <family val="0"/>
        <b val="1"/>
        <color rgb="FF9A6A0B"/>
      </font>
      <fill>
        <patternFill>
          <bgColor rgb="FFF7ECD2"/>
        </patternFill>
      </fill>
    </dxf>
    <dxf>
      <font>
        <name val="Arial"/>
        <charset val="1"/>
        <family val="0"/>
        <b val="1"/>
        <color rgb="FFB4492B"/>
      </font>
      <fill>
        <patternFill>
          <bgColor rgb="FFF6E3DC"/>
        </patternFill>
      </fill>
    </dxf>
    <dxf>
      <font>
        <name val="Arial"/>
        <charset val="1"/>
        <family val="0"/>
        <b val="1"/>
        <color rgb="FF2F6B4F"/>
      </font>
      <fill>
        <patternFill>
          <bgColor rgb="FFE1EEE6"/>
        </patternFill>
      </fill>
    </dxf>
    <dxf>
      <font>
        <name val="Arial"/>
        <charset val="1"/>
        <family val="0"/>
        <color rgb="FF7B8380"/>
      </font>
    </dxf>
    <dxf>
      <font>
        <name val="Arial"/>
        <charset val="1"/>
        <family val="0"/>
        <b val="1"/>
        <color rgb="FF2F6B4F"/>
      </font>
    </dxf>
    <dxf>
      <fill>
        <patternFill>
          <bgColor rgb="FFF3F2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B"/>
      <rgbColor rgb="FF800080"/>
      <rgbColor rgb="FF2F6B4F"/>
      <rgbColor rgb="FFC0C0C0"/>
      <rgbColor rgb="FF7B8380"/>
      <rgbColor rgb="FF9999FF"/>
      <rgbColor rgb="FF993366"/>
      <rgbColor rgb="FFFFF4CC"/>
      <rgbColor rgb="FFE1EEE6"/>
      <rgbColor rgb="FF660066"/>
      <rgbColor rgb="FFFF8080"/>
      <rgbColor rgb="FF0066CC"/>
      <rgbColor rgb="FFD9D8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2EE"/>
      <rgbColor rgb="FFCCFFCC"/>
      <rgbColor rgb="FFF7ECD2"/>
      <rgbColor rgb="FF99CCFF"/>
      <rgbColor rgb="FFFF99CC"/>
      <rgbColor rgb="FFCC99FF"/>
      <rgbColor rgb="FFF6E3DC"/>
      <rgbColor rgb="FF3366FF"/>
      <rgbColor rgb="FF33CCCC"/>
      <rgbColor rgb="FF99CC00"/>
      <rgbColor rgb="FFFFCC00"/>
      <rgbColor rgb="FFC9A227"/>
      <rgbColor rgb="FFFF6600"/>
      <rgbColor rgb="FF5B6360"/>
      <rgbColor rgb="FF969696"/>
      <rgbColor rgb="FF003366"/>
      <rgbColor rgb="FF339966"/>
      <rgbColor rgb="FF003300"/>
      <rgbColor rgb="FF333300"/>
      <rgbColor rgb="FFB4492B"/>
      <rgbColor rgb="FF993366"/>
      <rgbColor rgb="FF1F3FBF"/>
      <rgbColor rgb="FF1D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2321"/>
    <pageSetUpPr fitToPage="fals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A6" s="4" t="s">
        <v>3</v>
      </c>
      <c r="C6" s="5" t="s">
        <v>4</v>
      </c>
    </row>
    <row r="7" customFormat="false" ht="27.75" hidden="false" customHeight="true" outlineLevel="0" collapsed="false">
      <c r="A7" s="4" t="s">
        <v>5</v>
      </c>
      <c r="C7" s="5" t="s">
        <v>6</v>
      </c>
    </row>
    <row r="8" customFormat="false" ht="27.75" hidden="false" customHeight="true" outlineLevel="0" collapsed="false">
      <c r="A8" s="4" t="s">
        <v>7</v>
      </c>
      <c r="C8" s="5" t="s">
        <v>8</v>
      </c>
    </row>
    <row r="9" customFormat="false" ht="27.75" hidden="false" customHeight="true" outlineLevel="0" collapsed="false">
      <c r="A9" s="4" t="s">
        <v>9</v>
      </c>
      <c r="C9" s="5" t="s">
        <v>10</v>
      </c>
    </row>
    <row r="10" customFormat="false" ht="27.75" hidden="false" customHeight="true" outlineLevel="0" collapsed="false">
      <c r="A10" s="4" t="s">
        <v>11</v>
      </c>
      <c r="C10" s="5" t="s">
        <v>12</v>
      </c>
    </row>
    <row r="11" customFormat="false" ht="15" hidden="false" customHeight="false" outlineLevel="0" collapsed="false">
      <c r="A11" s="4" t="s">
        <v>13</v>
      </c>
      <c r="C11" s="5" t="s">
        <v>14</v>
      </c>
    </row>
    <row r="13" customFormat="false" ht="15" hidden="false" customHeight="false" outlineLevel="0" collapsed="false">
      <c r="B13" s="3" t="s">
        <v>15</v>
      </c>
    </row>
    <row r="14" customFormat="false" ht="15" hidden="false" customHeight="false" outlineLevel="0" collapsed="false">
      <c r="A14" s="6" t="s">
        <v>16</v>
      </c>
      <c r="C14" s="5" t="s">
        <v>17</v>
      </c>
    </row>
    <row r="15" customFormat="false" ht="27.75" hidden="false" customHeight="true" outlineLevel="0" collapsed="false">
      <c r="A15" s="6" t="s">
        <v>16</v>
      </c>
      <c r="C15" s="5" t="s">
        <v>18</v>
      </c>
    </row>
    <row r="16" customFormat="false" ht="27.75" hidden="false" customHeight="true" outlineLevel="0" collapsed="false">
      <c r="A16" s="6" t="s">
        <v>16</v>
      </c>
      <c r="C16" s="5" t="s">
        <v>19</v>
      </c>
    </row>
    <row r="18" customFormat="false" ht="15" hidden="false" customHeight="false" outlineLevel="0" collapsed="false">
      <c r="B18" s="3" t="s">
        <v>20</v>
      </c>
    </row>
    <row r="19" customFormat="false" ht="15" hidden="false" customHeight="true" outlineLevel="0" collapsed="false">
      <c r="B19" s="7" t="s">
        <v>21</v>
      </c>
      <c r="C19" s="7"/>
    </row>
    <row r="20" customFormat="false" ht="15" hidden="false" customHeight="true" outlineLevel="0" collapsed="false">
      <c r="B20" s="8" t="s">
        <v>22</v>
      </c>
      <c r="C20" s="8"/>
    </row>
    <row r="22" customFormat="false" ht="15" hidden="false" customHeight="false" outlineLevel="0" collapsed="false">
      <c r="B22" s="3" t="s">
        <v>23</v>
      </c>
    </row>
    <row r="23" customFormat="false" ht="15" hidden="false" customHeight="true" outlineLevel="0" collapsed="false">
      <c r="B23" s="9" t="s">
        <v>24</v>
      </c>
      <c r="C23" s="9"/>
    </row>
    <row r="24" customFormat="false" ht="15" hidden="false" customHeight="true" outlineLevel="0" collapsed="false">
      <c r="B24" s="9" t="s">
        <v>25</v>
      </c>
      <c r="C24" s="9"/>
    </row>
    <row r="25" customFormat="false" ht="15" hidden="false" customHeight="true" outlineLevel="0" collapsed="false">
      <c r="B25" s="9" t="s">
        <v>26</v>
      </c>
      <c r="C25" s="9"/>
    </row>
    <row r="26" customFormat="false" ht="15" hidden="false" customHeight="true" outlineLevel="0" collapsed="false">
      <c r="B26" s="9" t="s">
        <v>27</v>
      </c>
      <c r="C26" s="9"/>
    </row>
    <row r="27" customFormat="false" ht="15" hidden="false" customHeight="true" outlineLevel="0" collapsed="false">
      <c r="B27" s="9" t="s">
        <v>28</v>
      </c>
      <c r="C27" s="9"/>
    </row>
    <row r="28" customFormat="false" ht="15" hidden="false" customHeight="true" outlineLevel="0" collapsed="false">
      <c r="B28" s="9" t="s">
        <v>29</v>
      </c>
      <c r="C28" s="9"/>
    </row>
    <row r="29" customFormat="false" ht="15" hidden="false" customHeight="true" outlineLevel="0" collapsed="false">
      <c r="B29" s="9" t="s">
        <v>30</v>
      </c>
      <c r="C29" s="9"/>
    </row>
    <row r="31" customFormat="false" ht="15" hidden="false" customHeight="false" outlineLevel="0" collapsed="false">
      <c r="B31" s="3" t="s">
        <v>31</v>
      </c>
    </row>
    <row r="32" customFormat="false" ht="27.75" hidden="false" customHeight="true" outlineLevel="0" collapsed="false">
      <c r="B32" s="9" t="s">
        <v>32</v>
      </c>
      <c r="C32" s="9"/>
    </row>
    <row r="34" customFormat="false" ht="15" hidden="false" customHeight="false" outlineLevel="0" collapsed="false">
      <c r="B34" s="3" t="s">
        <v>33</v>
      </c>
    </row>
    <row r="35" customFormat="false" ht="42" hidden="false" customHeight="true" outlineLevel="0" collapsed="false">
      <c r="B35" s="9" t="s">
        <v>34</v>
      </c>
      <c r="C35" s="9"/>
    </row>
  </sheetData>
  <mergeCells count="11">
    <mergeCell ref="B19:C19"/>
    <mergeCell ref="B20:C20"/>
    <mergeCell ref="B23:C23"/>
    <mergeCell ref="B24:C24"/>
    <mergeCell ref="B25:C25"/>
    <mergeCell ref="B26:C26"/>
    <mergeCell ref="B27:C27"/>
    <mergeCell ref="B28:C28"/>
    <mergeCell ref="B29:C29"/>
    <mergeCell ref="B32:C32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492B"/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22.05" hidden="false" customHeight="false" outlineLevel="0" collapsed="false">
      <c r="B1" s="1" t="str">
        <f aca="false">IF(Project!$B$4="","My build",Project!$B$4)</f>
        <v>My build</v>
      </c>
    </row>
    <row r="2" customFormat="false" ht="15" hidden="false" customHeight="false" outlineLevel="0" collapsed="false">
      <c r="B2" s="2" t="str">
        <f aca="false">IF(Project!$B$5="","Fill in the Project tab to get started",Project!$B$5&amp;"  ·  Builder: "&amp;Project!$B$6)</f>
        <v>Fill in the Project tab to get started</v>
      </c>
    </row>
    <row r="4" customFormat="false" ht="15" hidden="false" customHeight="false" outlineLevel="0" collapsed="false"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</row>
    <row r="5" customFormat="false" ht="30" hidden="false" customHeight="true" outlineLevel="0" collapsed="false">
      <c r="B5" s="11" t="n">
        <f aca="false">SUM(Stages!C6:C15)</f>
        <v>0</v>
      </c>
      <c r="C5" s="11" t="n">
        <f aca="false">SUM(Stages!D6:D15)</f>
        <v>0</v>
      </c>
      <c r="D5" s="11" t="n">
        <f aca="false">SUMIF(Stages!I6:I15,"Verified",Stages!D6:D15)</f>
        <v>0</v>
      </c>
      <c r="E5" s="11" t="n">
        <f aca="false">C5-D5</f>
        <v>0</v>
      </c>
      <c r="F5" s="11" t="n">
        <f aca="false">B5-C5</f>
        <v>0</v>
      </c>
    </row>
    <row r="7" customFormat="false" ht="15" hidden="false" customHeight="false" outlineLevel="0" collapsed="false">
      <c r="B7" s="12" t="s">
        <v>40</v>
      </c>
      <c r="C7" s="13" t="n">
        <f aca="false">IF($B$5=0,0,$D$5/$B$5)</f>
        <v>0</v>
      </c>
      <c r="D7" s="14" t="str">
        <f aca="false">REPT("█",ROUND(C7*40,0))</f>
        <v/>
      </c>
    </row>
    <row r="8" customFormat="false" ht="15" hidden="false" customHeight="false" outlineLevel="0" collapsed="false">
      <c r="B8" s="12" t="s">
        <v>41</v>
      </c>
      <c r="C8" s="13" t="n">
        <f aca="false">IF($B$5=0,0,$E$5/$B$5)</f>
        <v>0</v>
      </c>
      <c r="D8" s="6" t="str">
        <f aca="false">REPT("█",ROUND(C8*40,0))</f>
        <v/>
      </c>
    </row>
    <row r="9" customFormat="false" ht="15" hidden="false" customHeight="false" outlineLevel="0" collapsed="false">
      <c r="B9" s="15" t="s">
        <v>42</v>
      </c>
    </row>
    <row r="11" customFormat="false" ht="15" hidden="false" customHeight="false" outlineLevel="0" collapsed="false">
      <c r="B11" s="3" t="s">
        <v>43</v>
      </c>
    </row>
    <row r="12" customFormat="false" ht="15" hidden="false" customHeight="false" outlineLevel="0" collapsed="false">
      <c r="B12" s="12" t="s">
        <v>44</v>
      </c>
      <c r="C12" s="16" t="str">
        <f aca="false">IFERROR(INDEX(Stages!B6:B15,MATCH(1,Stages!K6:K15,0)),"All stages verified 🎉")</f>
        <v>Foundation &amp; footings</v>
      </c>
      <c r="D12" s="16"/>
      <c r="E12" s="16"/>
      <c r="F12" s="16"/>
    </row>
    <row r="13" customFormat="false" ht="15" hidden="false" customHeight="false" outlineLevel="0" collapsed="false">
      <c r="B13" s="12" t="s">
        <v>45</v>
      </c>
      <c r="C13" s="17" t="str">
        <f aca="false">IFERROR(INDEX(Stages!I6:I15,MATCH(1,Stages!K6:K15,0)),"Verified")</f>
        <v>Ready to fund</v>
      </c>
      <c r="D13" s="17"/>
      <c r="E13" s="17"/>
      <c r="F13" s="17"/>
    </row>
    <row r="14" customFormat="false" ht="30" hidden="false" customHeight="true" outlineLevel="0" collapsed="false">
      <c r="B14" s="12" t="s">
        <v>46</v>
      </c>
      <c r="C14" s="17" t="str">
        <f aca="false">IFERROR(INDEX(Stages!J6:J15,MATCH(1,Stages!K6:K15,0)),"Well done. Keep all receipts and photos safe.")</f>
        <v>Agree the amount and send proof list before paying.</v>
      </c>
      <c r="D14" s="17"/>
      <c r="E14" s="17"/>
      <c r="F14" s="17"/>
    </row>
    <row r="15" customFormat="false" ht="15" hidden="false" customHeight="false" outlineLevel="0" collapsed="false">
      <c r="B15" s="12" t="s">
        <v>47</v>
      </c>
      <c r="C15" s="17" t="str">
        <f aca="false">IF(COUNTIF(Payments!H6:H205,"⚠*")=0,"None","⚠ "&amp;COUNTIF(Payments!H6:H205,"⚠*")&amp;" payment(s) sent before the previous stage was verified")</f>
        <v>None</v>
      </c>
      <c r="D15" s="17"/>
      <c r="E15" s="17"/>
      <c r="F15" s="17"/>
    </row>
    <row r="17" customFormat="false" ht="15" hidden="false" customHeight="false" outlineLevel="0" collapsed="false">
      <c r="B17" s="3" t="s">
        <v>48</v>
      </c>
    </row>
    <row r="18" customFormat="false" ht="30" hidden="false" customHeight="true" outlineLevel="0" collapsed="false">
      <c r="B18" s="18" t="s">
        <v>49</v>
      </c>
      <c r="C18" s="18" t="s">
        <v>50</v>
      </c>
      <c r="D18" s="18" t="s">
        <v>36</v>
      </c>
      <c r="E18" s="18" t="s">
        <v>51</v>
      </c>
      <c r="F18" s="18" t="s">
        <v>45</v>
      </c>
    </row>
    <row r="19" customFormat="false" ht="27.75" hidden="false" customHeight="true" outlineLevel="0" collapsed="false">
      <c r="B19" s="19" t="str">
        <f aca="false">IF(Stages!B6="","",Stages!A6&amp;". "&amp;Stages!B6)</f>
        <v>1. Foundation &amp; footings</v>
      </c>
      <c r="C19" s="20" t="n">
        <f aca="false">IF(Stages!B6="","",Stages!C6)</f>
        <v>0</v>
      </c>
      <c r="D19" s="20" t="n">
        <f aca="false">IF(Stages!B6="","",Stages!D6)</f>
        <v>0</v>
      </c>
      <c r="E19" s="21" t="str">
        <f aca="false">IF(Stages!B6="","",Stages!G6&amp;" of "&amp;Stages!F6)</f>
        <v>0 of 6</v>
      </c>
      <c r="F19" s="22" t="str">
        <f aca="false">Stages!I6</f>
        <v>Ready to fund</v>
      </c>
    </row>
    <row r="20" customFormat="false" ht="27.75" hidden="false" customHeight="true" outlineLevel="0" collapsed="false">
      <c r="B20" s="19" t="str">
        <f aca="false">IF(Stages!B7="","",Stages!A7&amp;". "&amp;Stages!B7)</f>
        <v>2. Slab level (DPC &amp; floor slab)</v>
      </c>
      <c r="C20" s="20" t="n">
        <f aca="false">IF(Stages!B7="","",Stages!C7)</f>
        <v>0</v>
      </c>
      <c r="D20" s="20" t="n">
        <f aca="false">IF(Stages!B7="","",Stages!D7)</f>
        <v>0</v>
      </c>
      <c r="E20" s="21" t="str">
        <f aca="false">IF(Stages!B7="","",Stages!G7&amp;" of "&amp;Stages!F7)</f>
        <v>0 of 6</v>
      </c>
      <c r="F20" s="22" t="str">
        <f aca="false">Stages!I7</f>
        <v>Locked</v>
      </c>
    </row>
    <row r="21" customFormat="false" ht="27.75" hidden="false" customHeight="true" outlineLevel="0" collapsed="false">
      <c r="B21" s="19" t="str">
        <f aca="false">IF(Stages!B8="","",Stages!A8&amp;". "&amp;Stages!B8)</f>
        <v>3. Window level</v>
      </c>
      <c r="C21" s="20" t="n">
        <f aca="false">IF(Stages!B8="","",Stages!C8)</f>
        <v>0</v>
      </c>
      <c r="D21" s="20" t="n">
        <f aca="false">IF(Stages!B8="","",Stages!D8)</f>
        <v>0</v>
      </c>
      <c r="E21" s="21" t="str">
        <f aca="false">IF(Stages!B8="","",Stages!G8&amp;" of "&amp;Stages!F8)</f>
        <v>0 of 5</v>
      </c>
      <c r="F21" s="22" t="str">
        <f aca="false">Stages!I8</f>
        <v>Locked</v>
      </c>
    </row>
    <row r="22" customFormat="false" ht="27.75" hidden="false" customHeight="true" outlineLevel="0" collapsed="false">
      <c r="B22" s="19" t="str">
        <f aca="false">IF(Stages!B9="","",Stages!A9&amp;". "&amp;Stages!B9)</f>
        <v>4. Roof level (lintels &amp; wall plate)</v>
      </c>
      <c r="C22" s="20" t="n">
        <f aca="false">IF(Stages!B9="","",Stages!C9)</f>
        <v>0</v>
      </c>
      <c r="D22" s="20" t="n">
        <f aca="false">IF(Stages!B9="","",Stages!D9)</f>
        <v>0</v>
      </c>
      <c r="E22" s="21" t="str">
        <f aca="false">IF(Stages!B9="","",Stages!G9&amp;" of "&amp;Stages!F9)</f>
        <v>0 of 5</v>
      </c>
      <c r="F22" s="22" t="str">
        <f aca="false">Stages!I9</f>
        <v>Locked</v>
      </c>
    </row>
    <row r="23" customFormat="false" ht="27.75" hidden="false" customHeight="true" outlineLevel="0" collapsed="false">
      <c r="B23" s="19" t="str">
        <f aca="false">IF(Stages!B10="","",Stages!A10&amp;". "&amp;Stages!B10)</f>
        <v>5. Roofing</v>
      </c>
      <c r="C23" s="20" t="n">
        <f aca="false">IF(Stages!B10="","",Stages!C10)</f>
        <v>0</v>
      </c>
      <c r="D23" s="20" t="n">
        <f aca="false">IF(Stages!B10="","",Stages!D10)</f>
        <v>0</v>
      </c>
      <c r="E23" s="21" t="str">
        <f aca="false">IF(Stages!B10="","",Stages!G10&amp;" of "&amp;Stages!F10)</f>
        <v>0 of 5</v>
      </c>
      <c r="F23" s="22" t="str">
        <f aca="false">Stages!I10</f>
        <v>Locked</v>
      </c>
    </row>
    <row r="24" customFormat="false" ht="27.75" hidden="false" customHeight="true" outlineLevel="0" collapsed="false">
      <c r="B24" s="19" t="str">
        <f aca="false">IF(Stages!B11="","",Stages!A11&amp;". "&amp;Stages!B11)</f>
        <v>6. Plumbing &amp; electrical (first fix)</v>
      </c>
      <c r="C24" s="20" t="n">
        <f aca="false">IF(Stages!B11="","",Stages!C11)</f>
        <v>0</v>
      </c>
      <c r="D24" s="20" t="n">
        <f aca="false">IF(Stages!B11="","",Stages!D11)</f>
        <v>0</v>
      </c>
      <c r="E24" s="21" t="str">
        <f aca="false">IF(Stages!B11="","",Stages!G11&amp;" of "&amp;Stages!F11)</f>
        <v>0 of 5</v>
      </c>
      <c r="F24" s="22" t="str">
        <f aca="false">Stages!I11</f>
        <v>Locked</v>
      </c>
    </row>
    <row r="25" customFormat="false" ht="27.75" hidden="false" customHeight="true" outlineLevel="0" collapsed="false">
      <c r="B25" s="19" t="str">
        <f aca="false">IF(Stages!B12="","",Stages!A12&amp;". "&amp;Stages!B12)</f>
        <v>7. Plaster &amp; ceilings</v>
      </c>
      <c r="C25" s="20" t="n">
        <f aca="false">IF(Stages!B12="","",Stages!C12)</f>
        <v>0</v>
      </c>
      <c r="D25" s="20" t="n">
        <f aca="false">IF(Stages!B12="","",Stages!D12)</f>
        <v>0</v>
      </c>
      <c r="E25" s="21" t="str">
        <f aca="false">IF(Stages!B12="","",Stages!G12&amp;" of "&amp;Stages!F12)</f>
        <v>0 of 4</v>
      </c>
      <c r="F25" s="22" t="str">
        <f aca="false">Stages!I12</f>
        <v>Locked</v>
      </c>
    </row>
    <row r="26" customFormat="false" ht="27.75" hidden="false" customHeight="true" outlineLevel="0" collapsed="false">
      <c r="B26" s="19" t="str">
        <f aca="false">IF(Stages!B13="","",Stages!A13&amp;". "&amp;Stages!B13)</f>
        <v>8. Floors, doors &amp; finishing</v>
      </c>
      <c r="C26" s="20" t="n">
        <f aca="false">IF(Stages!B13="","",Stages!C13)</f>
        <v>0</v>
      </c>
      <c r="D26" s="20" t="n">
        <f aca="false">IF(Stages!B13="","",Stages!D13)</f>
        <v>0</v>
      </c>
      <c r="E26" s="21" t="str">
        <f aca="false">IF(Stages!B13="","",Stages!G13&amp;" of "&amp;Stages!F13)</f>
        <v>0 of 6</v>
      </c>
      <c r="F26" s="22" t="str">
        <f aca="false">Stages!I13</f>
        <v>Locked</v>
      </c>
    </row>
    <row r="27" customFormat="false" ht="27.75" hidden="false" customHeight="true" outlineLevel="0" collapsed="false">
      <c r="B27" s="19" t="str">
        <f aca="false">IF(Stages!B14="","",Stages!A14&amp;". "&amp;Stages!B14)</f>
        <v/>
      </c>
      <c r="C27" s="20" t="str">
        <f aca="false">IF(Stages!B14="","",Stages!C14)</f>
        <v/>
      </c>
      <c r="D27" s="20" t="str">
        <f aca="false">IF(Stages!B14="","",Stages!D14)</f>
        <v/>
      </c>
      <c r="E27" s="21" t="str">
        <f aca="false">IF(Stages!B14="","",Stages!G14&amp;" of "&amp;Stages!F14)</f>
        <v/>
      </c>
      <c r="F27" s="22" t="str">
        <f aca="false">Stages!I14</f>
        <v/>
      </c>
    </row>
    <row r="28" customFormat="false" ht="27.75" hidden="false" customHeight="true" outlineLevel="0" collapsed="false">
      <c r="B28" s="19" t="str">
        <f aca="false">IF(Stages!B15="","",Stages!A15&amp;". "&amp;Stages!B15)</f>
        <v/>
      </c>
      <c r="C28" s="20" t="str">
        <f aca="false">IF(Stages!B15="","",Stages!C15)</f>
        <v/>
      </c>
      <c r="D28" s="20" t="str">
        <f aca="false">IF(Stages!B15="","",Stages!D15)</f>
        <v/>
      </c>
      <c r="E28" s="21" t="str">
        <f aca="false">IF(Stages!B15="","",Stages!G15&amp;" of "&amp;Stages!F15)</f>
        <v/>
      </c>
      <c r="F28" s="22" t="str">
        <f aca="false">Stages!I15</f>
        <v/>
      </c>
    </row>
  </sheetData>
  <mergeCells count="4">
    <mergeCell ref="C12:F12"/>
    <mergeCell ref="C13:F13"/>
    <mergeCell ref="C14:F14"/>
    <mergeCell ref="C15:F15"/>
  </mergeCells>
  <conditionalFormatting sqref="E5">
    <cfRule type="expression" priority="2" aboveAverage="0" equalAverage="0" bottom="0" percent="0" rank="0" text="" dxfId="0">
      <formula>$E$5&gt;0</formula>
    </cfRule>
    <cfRule type="expression" priority="3" aboveAverage="0" equalAverage="0" bottom="0" percent="0" rank="0" text="" dxfId="1">
      <formula>$E$5&lt;=0</formula>
    </cfRule>
  </conditionalFormatting>
  <conditionalFormatting sqref="C13">
    <cfRule type="expression" priority="4" aboveAverage="0" equalAverage="0" bottom="0" percent="0" rank="0" text="" dxfId="2">
      <formula>$C$13="Hold payment"</formula>
    </cfRule>
    <cfRule type="expression" priority="5" aboveAverage="0" equalAverage="0" bottom="0" percent="0" rank="0" text="" dxfId="3">
      <formula>$C$13="Ready to fund"</formula>
    </cfRule>
    <cfRule type="expression" priority="6" aboveAverage="0" equalAverage="0" bottom="0" percent="0" rank="0" text="" dxfId="4">
      <formula>$C$13="Verified"</formula>
    </cfRule>
  </conditionalFormatting>
  <conditionalFormatting sqref="C15">
    <cfRule type="expression" priority="7" aboveAverage="0" equalAverage="0" bottom="0" percent="0" rank="0" text="" dxfId="2">
      <formula>LEFT($C$15,1)="⚠"</formula>
    </cfRule>
  </conditionalFormatting>
  <conditionalFormatting sqref="F19:F28">
    <cfRule type="expression" priority="8" aboveAverage="0" equalAverage="0" bottom="0" percent="0" rank="0" text="" dxfId="4">
      <formula>$F19="Verified"</formula>
    </cfRule>
    <cfRule type="expression" priority="9" aboveAverage="0" equalAverage="0" bottom="0" percent="0" rank="0" text="" dxfId="2">
      <formula>$F19="Hold payment"</formula>
    </cfRule>
    <cfRule type="expression" priority="10" aboveAverage="0" equalAverage="0" bottom="0" percent="0" rank="0" text="" dxfId="3">
      <formula>$F19="Ready to fund"</formula>
    </cfRule>
    <cfRule type="expression" priority="11" aboveAverage="0" equalAverage="0" bottom="0" percent="0" rank="0" text="" dxfId="5">
      <formula>$F19="Locked"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2" t="s">
        <v>54</v>
      </c>
      <c r="B4" s="23"/>
      <c r="C4" s="24" t="s">
        <v>55</v>
      </c>
    </row>
    <row r="5" customFormat="false" ht="15" hidden="false" customHeight="false" outlineLevel="0" collapsed="false">
      <c r="A5" s="12" t="s">
        <v>56</v>
      </c>
      <c r="B5" s="23"/>
      <c r="C5" s="24" t="s">
        <v>57</v>
      </c>
    </row>
    <row r="6" customFormat="false" ht="15" hidden="false" customHeight="false" outlineLevel="0" collapsed="false">
      <c r="A6" s="12" t="s">
        <v>58</v>
      </c>
      <c r="B6" s="23"/>
      <c r="C6" s="24" t="s">
        <v>59</v>
      </c>
    </row>
    <row r="7" customFormat="false" ht="15" hidden="false" customHeight="false" outlineLevel="0" collapsed="false">
      <c r="A7" s="12" t="s">
        <v>60</v>
      </c>
      <c r="B7" s="23"/>
      <c r="C7" s="24"/>
    </row>
    <row r="8" customFormat="false" ht="15" hidden="false" customHeight="false" outlineLevel="0" collapsed="false">
      <c r="A8" s="12" t="s">
        <v>61</v>
      </c>
      <c r="B8" s="23"/>
      <c r="C8" s="24" t="s">
        <v>62</v>
      </c>
    </row>
    <row r="9" customFormat="false" ht="15" hidden="false" customHeight="false" outlineLevel="0" collapsed="false">
      <c r="A9" s="12" t="s">
        <v>63</v>
      </c>
      <c r="B9" s="25"/>
      <c r="C9" s="24"/>
    </row>
    <row r="10" customFormat="false" ht="15" hidden="false" customHeight="false" outlineLevel="0" collapsed="false">
      <c r="A10" s="12" t="s">
        <v>64</v>
      </c>
      <c r="B10" s="23" t="s">
        <v>65</v>
      </c>
      <c r="C10" s="2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58"/>
    <col collapsed="false" customWidth="true" hidden="false" outlineLevel="0" max="11" min="11" style="0" width="7"/>
  </cols>
  <sheetData>
    <row r="1" customFormat="false" ht="22.0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5" customFormat="false" ht="30" hidden="false" customHeight="true" outlineLevel="0" collapsed="false">
      <c r="A5" s="18" t="s">
        <v>69</v>
      </c>
      <c r="B5" s="18" t="s">
        <v>49</v>
      </c>
      <c r="C5" s="18" t="s">
        <v>70</v>
      </c>
      <c r="D5" s="18" t="s">
        <v>36</v>
      </c>
      <c r="E5" s="18" t="s">
        <v>71</v>
      </c>
      <c r="F5" s="18" t="s">
        <v>72</v>
      </c>
      <c r="G5" s="18" t="s">
        <v>73</v>
      </c>
      <c r="H5" s="18" t="s">
        <v>74</v>
      </c>
      <c r="I5" s="18" t="s">
        <v>45</v>
      </c>
      <c r="J5" s="18" t="s">
        <v>46</v>
      </c>
      <c r="K5" s="18" t="s">
        <v>75</v>
      </c>
    </row>
    <row r="6" customFormat="false" ht="15" hidden="false" customHeight="false" outlineLevel="0" collapsed="false">
      <c r="A6" s="22" t="n">
        <v>1</v>
      </c>
      <c r="B6" s="23" t="s">
        <v>76</v>
      </c>
      <c r="C6" s="26"/>
      <c r="D6" s="20" t="n">
        <f aca="false">SUMIF(Payments!$B$6:$B$205,A6,Payments!$D$6:$D$205)</f>
        <v>0</v>
      </c>
      <c r="E6" s="20" t="n">
        <f aca="false">IF(B6="","",C6-D6)</f>
        <v>0</v>
      </c>
      <c r="F6" s="21" t="n">
        <f aca="false">COUNTIFS('Proof Checklist'!$A$6:$A$155,A6,'Proof Checklist'!$C$6:$C$155,"&lt;&gt;")</f>
        <v>6</v>
      </c>
      <c r="G6" s="21" t="n">
        <f aca="false">COUNTIFS('Proof Checklist'!$A$6:$A$155,A6,'Proof Checklist'!$D$6:$D$155,"Yes")</f>
        <v>0</v>
      </c>
      <c r="H6" s="27" t="n">
        <f aca="false">IF(F6=0,0,G6/F6)</f>
        <v>0</v>
      </c>
      <c r="I6" s="22" t="str">
        <f aca="false">IF(B6="","",IF(F6=0,"Add proof items",IF(AND(D6&gt;0,G6&gt;=F6),"Verified",IF(NOT(TRUE()),"Locked",IF(D6&gt;0,"Hold payment","Ready to fund")))))</f>
        <v>Ready to fund</v>
      </c>
      <c r="J6" s="19" t="str">
        <f aca="false">IF(I6="","",IF(I6="Verified","Done. All proof received.",IF(I6="Locked","Wait. Don't send money until the previous stage is verified.",IF(I6="Hold payment","Hold. "&amp;(F6-G6)&amp;" proof item(s) missing. Send the WhatsApp request.",IF(I6="Ready to fund","Agree the amount and send proof list before paying.","Add proof items on the Proof Checklist tab.")))))</f>
        <v>Agree the amount and send proof list before paying.</v>
      </c>
      <c r="K6" s="28" t="n">
        <f aca="false">IF(AND(B6&lt;&gt;"",I6&lt;&gt;"Verified"),1,0)</f>
        <v>1</v>
      </c>
    </row>
    <row r="7" customFormat="false" ht="15" hidden="false" customHeight="false" outlineLevel="0" collapsed="false">
      <c r="A7" s="22" t="n">
        <v>2</v>
      </c>
      <c r="B7" s="23" t="s">
        <v>77</v>
      </c>
      <c r="C7" s="26"/>
      <c r="D7" s="20" t="n">
        <f aca="false">SUMIF(Payments!$B$6:$B$205,A7,Payments!$D$6:$D$205)</f>
        <v>0</v>
      </c>
      <c r="E7" s="20" t="n">
        <f aca="false">IF(B7="","",C7-D7)</f>
        <v>0</v>
      </c>
      <c r="F7" s="21" t="n">
        <f aca="false">COUNTIFS('Proof Checklist'!$A$6:$A$155,A7,'Proof Checklist'!$C$6:$C$155,"&lt;&gt;")</f>
        <v>6</v>
      </c>
      <c r="G7" s="21" t="n">
        <f aca="false">COUNTIFS('Proof Checklist'!$A$6:$A$155,A7,'Proof Checklist'!$D$6:$D$155,"Yes")</f>
        <v>0</v>
      </c>
      <c r="H7" s="27" t="n">
        <f aca="false">IF(F7=0,0,G7/F7)</f>
        <v>0</v>
      </c>
      <c r="I7" s="22" t="str">
        <f aca="false">IF(B7="","",IF(F7=0,"Add proof items",IF(AND(D7&gt;0,G7&gt;=F7),"Verified",IF(NOT(I6="Verified"),"Locked",IF(D7&gt;0,"Hold payment","Ready to fund")))))</f>
        <v>Locked</v>
      </c>
      <c r="J7" s="19" t="str">
        <f aca="false">IF(I7="","",IF(I7="Verified","Done. All proof received.",IF(I7="Locked","Wait. Don't send money until the previous stage is verified.",IF(I7="Hold payment","Hold. "&amp;(F7-G7)&amp;" proof item(s) missing. Send the WhatsApp request.",IF(I7="Ready to fund","Agree the amount and send proof list before paying.","Add proof items on the Proof Checklist tab.")))))</f>
        <v>Wait. Don't send money until the previous stage is verified.</v>
      </c>
      <c r="K7" s="28" t="n">
        <f aca="false">IF(AND(B7&lt;&gt;"",I7&lt;&gt;"Verified"),1,0)</f>
        <v>1</v>
      </c>
    </row>
    <row r="8" customFormat="false" ht="15" hidden="false" customHeight="false" outlineLevel="0" collapsed="false">
      <c r="A8" s="22" t="n">
        <v>3</v>
      </c>
      <c r="B8" s="23" t="s">
        <v>78</v>
      </c>
      <c r="C8" s="26"/>
      <c r="D8" s="20" t="n">
        <f aca="false">SUMIF(Payments!$B$6:$B$205,A8,Payments!$D$6:$D$205)</f>
        <v>0</v>
      </c>
      <c r="E8" s="20" t="n">
        <f aca="false">IF(B8="","",C8-D8)</f>
        <v>0</v>
      </c>
      <c r="F8" s="21" t="n">
        <f aca="false">COUNTIFS('Proof Checklist'!$A$6:$A$155,A8,'Proof Checklist'!$C$6:$C$155,"&lt;&gt;")</f>
        <v>5</v>
      </c>
      <c r="G8" s="21" t="n">
        <f aca="false">COUNTIFS('Proof Checklist'!$A$6:$A$155,A8,'Proof Checklist'!$D$6:$D$155,"Yes")</f>
        <v>0</v>
      </c>
      <c r="H8" s="27" t="n">
        <f aca="false">IF(F8=0,0,G8/F8)</f>
        <v>0</v>
      </c>
      <c r="I8" s="22" t="str">
        <f aca="false">IF(B8="","",IF(F8=0,"Add proof items",IF(AND(D8&gt;0,G8&gt;=F8),"Verified",IF(NOT(I7="Verified"),"Locked",IF(D8&gt;0,"Hold payment","Ready to fund")))))</f>
        <v>Locked</v>
      </c>
      <c r="J8" s="19" t="str">
        <f aca="false">IF(I8="","",IF(I8="Verified","Done. All proof received.",IF(I8="Locked","Wait. Don't send money until the previous stage is verified.",IF(I8="Hold payment","Hold. "&amp;(F8-G8)&amp;" proof item(s) missing. Send the WhatsApp request.",IF(I8="Ready to fund","Agree the amount and send proof list before paying.","Add proof items on the Proof Checklist tab.")))))</f>
        <v>Wait. Don't send money until the previous stage is verified.</v>
      </c>
      <c r="K8" s="28" t="n">
        <f aca="false">IF(AND(B8&lt;&gt;"",I8&lt;&gt;"Verified"),1,0)</f>
        <v>1</v>
      </c>
    </row>
    <row r="9" customFormat="false" ht="15" hidden="false" customHeight="false" outlineLevel="0" collapsed="false">
      <c r="A9" s="22" t="n">
        <v>4</v>
      </c>
      <c r="B9" s="23" t="s">
        <v>79</v>
      </c>
      <c r="C9" s="26"/>
      <c r="D9" s="20" t="n">
        <f aca="false">SUMIF(Payments!$B$6:$B$205,A9,Payments!$D$6:$D$205)</f>
        <v>0</v>
      </c>
      <c r="E9" s="20" t="n">
        <f aca="false">IF(B9="","",C9-D9)</f>
        <v>0</v>
      </c>
      <c r="F9" s="21" t="n">
        <f aca="false">COUNTIFS('Proof Checklist'!$A$6:$A$155,A9,'Proof Checklist'!$C$6:$C$155,"&lt;&gt;")</f>
        <v>5</v>
      </c>
      <c r="G9" s="21" t="n">
        <f aca="false">COUNTIFS('Proof Checklist'!$A$6:$A$155,A9,'Proof Checklist'!$D$6:$D$155,"Yes")</f>
        <v>0</v>
      </c>
      <c r="H9" s="27" t="n">
        <f aca="false">IF(F9=0,0,G9/F9)</f>
        <v>0</v>
      </c>
      <c r="I9" s="22" t="str">
        <f aca="false">IF(B9="","",IF(F9=0,"Add proof items",IF(AND(D9&gt;0,G9&gt;=F9),"Verified",IF(NOT(I8="Verified"),"Locked",IF(D9&gt;0,"Hold payment","Ready to fund")))))</f>
        <v>Locked</v>
      </c>
      <c r="J9" s="19" t="str">
        <f aca="false">IF(I9="","",IF(I9="Verified","Done. All proof received.",IF(I9="Locked","Wait. Don't send money until the previous stage is verified.",IF(I9="Hold payment","Hold. "&amp;(F9-G9)&amp;" proof item(s) missing. Send the WhatsApp request.",IF(I9="Ready to fund","Agree the amount and send proof list before paying.","Add proof items on the Proof Checklist tab.")))))</f>
        <v>Wait. Don't send money until the previous stage is verified.</v>
      </c>
      <c r="K9" s="28" t="n">
        <f aca="false">IF(AND(B9&lt;&gt;"",I9&lt;&gt;"Verified"),1,0)</f>
        <v>1</v>
      </c>
    </row>
    <row r="10" customFormat="false" ht="15" hidden="false" customHeight="false" outlineLevel="0" collapsed="false">
      <c r="A10" s="22" t="n">
        <v>5</v>
      </c>
      <c r="B10" s="23" t="s">
        <v>80</v>
      </c>
      <c r="C10" s="26"/>
      <c r="D10" s="20" t="n">
        <f aca="false">SUMIF(Payments!$B$6:$B$205,A10,Payments!$D$6:$D$205)</f>
        <v>0</v>
      </c>
      <c r="E10" s="20" t="n">
        <f aca="false">IF(B10="","",C10-D10)</f>
        <v>0</v>
      </c>
      <c r="F10" s="21" t="n">
        <f aca="false">COUNTIFS('Proof Checklist'!$A$6:$A$155,A10,'Proof Checklist'!$C$6:$C$155,"&lt;&gt;")</f>
        <v>5</v>
      </c>
      <c r="G10" s="21" t="n">
        <f aca="false">COUNTIFS('Proof Checklist'!$A$6:$A$155,A10,'Proof Checklist'!$D$6:$D$155,"Yes")</f>
        <v>0</v>
      </c>
      <c r="H10" s="27" t="n">
        <f aca="false">IF(F10=0,0,G10/F10)</f>
        <v>0</v>
      </c>
      <c r="I10" s="22" t="str">
        <f aca="false">IF(B10="","",IF(F10=0,"Add proof items",IF(AND(D10&gt;0,G10&gt;=F10),"Verified",IF(NOT(I9="Verified"),"Locked",IF(D10&gt;0,"Hold payment","Ready to fund")))))</f>
        <v>Locked</v>
      </c>
      <c r="J10" s="19" t="str">
        <f aca="false">IF(I10="","",IF(I10="Verified","Done. All proof received.",IF(I10="Locked","Wait. Don't send money until the previous stage is verified.",IF(I10="Hold payment","Hold. "&amp;(F10-G10)&amp;" proof item(s) missing. Send the WhatsApp request.",IF(I10="Ready to fund","Agree the amount and send proof list before paying.","Add proof items on the Proof Checklist tab.")))))</f>
        <v>Wait. Don't send money until the previous stage is verified.</v>
      </c>
      <c r="K10" s="28" t="n">
        <f aca="false">IF(AND(B10&lt;&gt;"",I10&lt;&gt;"Verified"),1,0)</f>
        <v>1</v>
      </c>
    </row>
    <row r="11" customFormat="false" ht="15" hidden="false" customHeight="false" outlineLevel="0" collapsed="false">
      <c r="A11" s="22" t="n">
        <v>6</v>
      </c>
      <c r="B11" s="23" t="s">
        <v>81</v>
      </c>
      <c r="C11" s="26"/>
      <c r="D11" s="20" t="n">
        <f aca="false">SUMIF(Payments!$B$6:$B$205,A11,Payments!$D$6:$D$205)</f>
        <v>0</v>
      </c>
      <c r="E11" s="20" t="n">
        <f aca="false">IF(B11="","",C11-D11)</f>
        <v>0</v>
      </c>
      <c r="F11" s="21" t="n">
        <f aca="false">COUNTIFS('Proof Checklist'!$A$6:$A$155,A11,'Proof Checklist'!$C$6:$C$155,"&lt;&gt;")</f>
        <v>5</v>
      </c>
      <c r="G11" s="21" t="n">
        <f aca="false">COUNTIFS('Proof Checklist'!$A$6:$A$155,A11,'Proof Checklist'!$D$6:$D$155,"Yes")</f>
        <v>0</v>
      </c>
      <c r="H11" s="27" t="n">
        <f aca="false">IF(F11=0,0,G11/F11)</f>
        <v>0</v>
      </c>
      <c r="I11" s="22" t="str">
        <f aca="false">IF(B11="","",IF(F11=0,"Add proof items",IF(AND(D11&gt;0,G11&gt;=F11),"Verified",IF(NOT(I10="Verified"),"Locked",IF(D11&gt;0,"Hold payment","Ready to fund")))))</f>
        <v>Locked</v>
      </c>
      <c r="J11" s="19" t="str">
        <f aca="false">IF(I11="","",IF(I11="Verified","Done. All proof received.",IF(I11="Locked","Wait. Don't send money until the previous stage is verified.",IF(I11="Hold payment","Hold. "&amp;(F11-G11)&amp;" proof item(s) missing. Send the WhatsApp request.",IF(I11="Ready to fund","Agree the amount and send proof list before paying.","Add proof items on the Proof Checklist tab.")))))</f>
        <v>Wait. Don't send money until the previous stage is verified.</v>
      </c>
      <c r="K11" s="28" t="n">
        <f aca="false">IF(AND(B11&lt;&gt;"",I11&lt;&gt;"Verified"),1,0)</f>
        <v>1</v>
      </c>
    </row>
    <row r="12" customFormat="false" ht="15" hidden="false" customHeight="false" outlineLevel="0" collapsed="false">
      <c r="A12" s="22" t="n">
        <v>7</v>
      </c>
      <c r="B12" s="23" t="s">
        <v>82</v>
      </c>
      <c r="C12" s="26"/>
      <c r="D12" s="20" t="n">
        <f aca="false">SUMIF(Payments!$B$6:$B$205,A12,Payments!$D$6:$D$205)</f>
        <v>0</v>
      </c>
      <c r="E12" s="20" t="n">
        <f aca="false">IF(B12="","",C12-D12)</f>
        <v>0</v>
      </c>
      <c r="F12" s="21" t="n">
        <f aca="false">COUNTIFS('Proof Checklist'!$A$6:$A$155,A12,'Proof Checklist'!$C$6:$C$155,"&lt;&gt;")</f>
        <v>4</v>
      </c>
      <c r="G12" s="21" t="n">
        <f aca="false">COUNTIFS('Proof Checklist'!$A$6:$A$155,A12,'Proof Checklist'!$D$6:$D$155,"Yes")</f>
        <v>0</v>
      </c>
      <c r="H12" s="27" t="n">
        <f aca="false">IF(F12=0,0,G12/F12)</f>
        <v>0</v>
      </c>
      <c r="I12" s="22" t="str">
        <f aca="false">IF(B12="","",IF(F12=0,"Add proof items",IF(AND(D12&gt;0,G12&gt;=F12),"Verified",IF(NOT(I11="Verified"),"Locked",IF(D12&gt;0,"Hold payment","Ready to fund")))))</f>
        <v>Locked</v>
      </c>
      <c r="J12" s="19" t="str">
        <f aca="false">IF(I12="","",IF(I12="Verified","Done. All proof received.",IF(I12="Locked","Wait. Don't send money until the previous stage is verified.",IF(I12="Hold payment","Hold. "&amp;(F12-G12)&amp;" proof item(s) missing. Send the WhatsApp request.",IF(I12="Ready to fund","Agree the amount and send proof list before paying.","Add proof items on the Proof Checklist tab.")))))</f>
        <v>Wait. Don't send money until the previous stage is verified.</v>
      </c>
      <c r="K12" s="28" t="n">
        <f aca="false">IF(AND(B12&lt;&gt;"",I12&lt;&gt;"Verified"),1,0)</f>
        <v>1</v>
      </c>
    </row>
    <row r="13" customFormat="false" ht="15" hidden="false" customHeight="false" outlineLevel="0" collapsed="false">
      <c r="A13" s="22" t="n">
        <v>8</v>
      </c>
      <c r="B13" s="23" t="s">
        <v>83</v>
      </c>
      <c r="C13" s="26"/>
      <c r="D13" s="20" t="n">
        <f aca="false">SUMIF(Payments!$B$6:$B$205,A13,Payments!$D$6:$D$205)</f>
        <v>0</v>
      </c>
      <c r="E13" s="20" t="n">
        <f aca="false">IF(B13="","",C13-D13)</f>
        <v>0</v>
      </c>
      <c r="F13" s="21" t="n">
        <f aca="false">COUNTIFS('Proof Checklist'!$A$6:$A$155,A13,'Proof Checklist'!$C$6:$C$155,"&lt;&gt;")</f>
        <v>6</v>
      </c>
      <c r="G13" s="21" t="n">
        <f aca="false">COUNTIFS('Proof Checklist'!$A$6:$A$155,A13,'Proof Checklist'!$D$6:$D$155,"Yes")</f>
        <v>0</v>
      </c>
      <c r="H13" s="27" t="n">
        <f aca="false">IF(F13=0,0,G13/F13)</f>
        <v>0</v>
      </c>
      <c r="I13" s="22" t="str">
        <f aca="false">IF(B13="","",IF(F13=0,"Add proof items",IF(AND(D13&gt;0,G13&gt;=F13),"Verified",IF(NOT(I12="Verified"),"Locked",IF(D13&gt;0,"Hold payment","Ready to fund")))))</f>
        <v>Locked</v>
      </c>
      <c r="J13" s="19" t="str">
        <f aca="false">IF(I13="","",IF(I13="Verified","Done. All proof received.",IF(I13="Locked","Wait. Don't send money until the previous stage is verified.",IF(I13="Hold payment","Hold. "&amp;(F13-G13)&amp;" proof item(s) missing. Send the WhatsApp request.",IF(I13="Ready to fund","Agree the amount and send proof list before paying.","Add proof items on the Proof Checklist tab.")))))</f>
        <v>Wait. Don't send money until the previous stage is verified.</v>
      </c>
      <c r="K13" s="28" t="n">
        <f aca="false">IF(AND(B13&lt;&gt;"",I13&lt;&gt;"Verified"),1,0)</f>
        <v>1</v>
      </c>
    </row>
    <row r="14" customFormat="false" ht="15" hidden="false" customHeight="false" outlineLevel="0" collapsed="false">
      <c r="A14" s="22" t="n">
        <v>9</v>
      </c>
      <c r="B14" s="23"/>
      <c r="C14" s="26"/>
      <c r="D14" s="20" t="n">
        <f aca="false">SUMIF(Payments!$B$6:$B$205,A14,Payments!$D$6:$D$205)</f>
        <v>0</v>
      </c>
      <c r="E14" s="20" t="str">
        <f aca="false">IF(B14="","",C14-D14)</f>
        <v/>
      </c>
      <c r="F14" s="21" t="n">
        <f aca="false">COUNTIFS('Proof Checklist'!$A$6:$A$155,A14,'Proof Checklist'!$C$6:$C$155,"&lt;&gt;")</f>
        <v>0</v>
      </c>
      <c r="G14" s="21" t="n">
        <f aca="false">COUNTIFS('Proof Checklist'!$A$6:$A$155,A14,'Proof Checklist'!$D$6:$D$155,"Yes")</f>
        <v>0</v>
      </c>
      <c r="H14" s="27" t="n">
        <f aca="false">IF(F14=0,0,G14/F14)</f>
        <v>0</v>
      </c>
      <c r="I14" s="22" t="str">
        <f aca="false">IF(B14="","",IF(F14=0,"Add proof items",IF(AND(D14&gt;0,G14&gt;=F14),"Verified",IF(NOT(I13="Verified"),"Locked",IF(D14&gt;0,"Hold payment","Ready to fund")))))</f>
        <v/>
      </c>
      <c r="J14" s="19" t="str">
        <f aca="false">IF(I14="","",IF(I14="Verified","Done. All proof received.",IF(I14="Locked","Wait. Don't send money until the previous stage is verified.",IF(I14="Hold payment","Hold. "&amp;(F14-G14)&amp;" proof item(s) missing. Send the WhatsApp request.",IF(I14="Ready to fund","Agree the amount and send proof list before paying.","Add proof items on the Proof Checklist tab.")))))</f>
        <v/>
      </c>
      <c r="K14" s="28" t="n">
        <f aca="false">IF(AND(B14&lt;&gt;"",I14&lt;&gt;"Verified"),1,0)</f>
        <v>0</v>
      </c>
    </row>
    <row r="15" customFormat="false" ht="15" hidden="false" customHeight="false" outlineLevel="0" collapsed="false">
      <c r="A15" s="22" t="n">
        <v>10</v>
      </c>
      <c r="B15" s="23"/>
      <c r="C15" s="26"/>
      <c r="D15" s="20" t="n">
        <f aca="false">SUMIF(Payments!$B$6:$B$205,A15,Payments!$D$6:$D$205)</f>
        <v>0</v>
      </c>
      <c r="E15" s="20" t="str">
        <f aca="false">IF(B15="","",C15-D15)</f>
        <v/>
      </c>
      <c r="F15" s="21" t="n">
        <f aca="false">COUNTIFS('Proof Checklist'!$A$6:$A$155,A15,'Proof Checklist'!$C$6:$C$155,"&lt;&gt;")</f>
        <v>0</v>
      </c>
      <c r="G15" s="21" t="n">
        <f aca="false">COUNTIFS('Proof Checklist'!$A$6:$A$155,A15,'Proof Checklist'!$D$6:$D$155,"Yes")</f>
        <v>0</v>
      </c>
      <c r="H15" s="27" t="n">
        <f aca="false">IF(F15=0,0,G15/F15)</f>
        <v>0</v>
      </c>
      <c r="I15" s="22" t="str">
        <f aca="false">IF(B15="","",IF(F15=0,"Add proof items",IF(AND(D15&gt;0,G15&gt;=F15),"Verified",IF(NOT(I14="Verified"),"Locked",IF(D15&gt;0,"Hold payment","Ready to fund")))))</f>
        <v/>
      </c>
      <c r="J15" s="19" t="str">
        <f aca="false">IF(I15="","",IF(I15="Verified","Done. All proof received.",IF(I15="Locked","Wait. Don't send money until the previous stage is verified.",IF(I15="Hold payment","Hold. "&amp;(F15-G15)&amp;" proof item(s) missing. Send the WhatsApp request.",IF(I15="Ready to fund","Agree the amount and send proof list before paying.","Add proof items on the Proof Checklist tab.")))))</f>
        <v/>
      </c>
      <c r="K15" s="28" t="n">
        <f aca="false">IF(AND(B15&lt;&gt;"",I15&lt;&gt;"Verified"),1,0)</f>
        <v>0</v>
      </c>
    </row>
    <row r="16" customFormat="false" ht="15" hidden="false" customHeight="false" outlineLevel="0" collapsed="false">
      <c r="B16" s="12" t="s">
        <v>84</v>
      </c>
      <c r="C16" s="29" t="n">
        <f aca="false">SUM(C6:C15)</f>
        <v>0</v>
      </c>
      <c r="D16" s="29" t="n">
        <f aca="false">SUM(D6:D15)</f>
        <v>0</v>
      </c>
      <c r="E16" s="29" t="n">
        <f aca="false">SUM(E6:E15)</f>
        <v>0</v>
      </c>
    </row>
    <row r="18" customFormat="false" ht="15" hidden="false" customHeight="false" outlineLevel="0" collapsed="false">
      <c r="B18" s="24" t="s">
        <v>85</v>
      </c>
    </row>
  </sheetData>
  <conditionalFormatting sqref="I6:I15">
    <cfRule type="expression" priority="2" aboveAverage="0" equalAverage="0" bottom="0" percent="0" rank="0" text="" dxfId="4">
      <formula>$I6="Verified"</formula>
    </cfRule>
    <cfRule type="expression" priority="3" aboveAverage="0" equalAverage="0" bottom="0" percent="0" rank="0" text="" dxfId="2">
      <formula>$I6="Hold payment"</formula>
    </cfRule>
    <cfRule type="expression" priority="4" aboveAverage="0" equalAverage="0" bottom="0" percent="0" rank="0" text="" dxfId="3">
      <formula>$I6="Ready to fund"</formula>
    </cfRule>
    <cfRule type="expression" priority="5" aboveAverage="0" equalAverage="0" bottom="0" percent="0" rank="0" text="" dxfId="5">
      <formula>$I6="Locked"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3"/>
    <col collapsed="false" customWidth="true" hidden="false" outlineLevel="0" max="10" min="10" style="0" width="14"/>
  </cols>
  <sheetData>
    <row r="1" customFormat="false" ht="22.0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24" t="s">
        <v>88</v>
      </c>
    </row>
    <row r="5" customFormat="false" ht="30" hidden="false" customHeight="true" outlineLevel="0" collapsed="false">
      <c r="A5" s="18" t="s">
        <v>89</v>
      </c>
      <c r="B5" s="18" t="s">
        <v>90</v>
      </c>
      <c r="C5" s="18" t="s">
        <v>49</v>
      </c>
      <c r="D5" s="18" t="s">
        <v>91</v>
      </c>
      <c r="E5" s="18" t="s">
        <v>92</v>
      </c>
      <c r="F5" s="18" t="s">
        <v>93</v>
      </c>
      <c r="G5" s="18" t="s">
        <v>94</v>
      </c>
      <c r="H5" s="18" t="s">
        <v>95</v>
      </c>
      <c r="J5" s="12" t="s">
        <v>96</v>
      </c>
    </row>
    <row r="6" customFormat="false" ht="15" hidden="false" customHeight="false" outlineLevel="0" collapsed="false">
      <c r="A6" s="25"/>
      <c r="B6" s="30"/>
      <c r="C6" s="21" t="str">
        <f aca="false">IF(B6="","",IFERROR(INDEX(Stages!$B$6:$B$15,B6),"Unknown stage"))</f>
        <v/>
      </c>
      <c r="D6" s="26"/>
      <c r="E6" s="23"/>
      <c r="F6" s="23"/>
      <c r="G6" s="23"/>
      <c r="H6" s="21" t="str">
        <f aca="false">IF(B6="","",IF(B6=1,"OK",IF(IFERROR(INDEX(Stages!$I$6:$I$15,B6-1),"")="Verified","OK","⚠ Previous stage not verified yet")))</f>
        <v/>
      </c>
      <c r="J6" s="29" t="n">
        <f aca="false">SUM(D6:D205)</f>
        <v>0</v>
      </c>
    </row>
    <row r="7" customFormat="false" ht="15" hidden="false" customHeight="false" outlineLevel="0" collapsed="false">
      <c r="A7" s="25"/>
      <c r="B7" s="30"/>
      <c r="C7" s="21" t="str">
        <f aca="false">IF(B7="","",IFERROR(INDEX(Stages!$B$6:$B$15,B7),"Unknown stage"))</f>
        <v/>
      </c>
      <c r="D7" s="26"/>
      <c r="E7" s="23"/>
      <c r="F7" s="23"/>
      <c r="G7" s="23"/>
      <c r="H7" s="21" t="str">
        <f aca="false">IF(B7="","",IF(B7=1,"OK",IF(IFERROR(INDEX(Stages!$I$6:$I$15,B7-1),"")="Verified","OK","⚠ Previous stage not verified yet")))</f>
        <v/>
      </c>
    </row>
    <row r="8" customFormat="false" ht="15" hidden="false" customHeight="false" outlineLevel="0" collapsed="false">
      <c r="A8" s="25"/>
      <c r="B8" s="30"/>
      <c r="C8" s="21" t="str">
        <f aca="false">IF(B8="","",IFERROR(INDEX(Stages!$B$6:$B$15,B8),"Unknown stage"))</f>
        <v/>
      </c>
      <c r="D8" s="26"/>
      <c r="E8" s="23"/>
      <c r="F8" s="23"/>
      <c r="G8" s="23"/>
      <c r="H8" s="21" t="str">
        <f aca="false">IF(B8="","",IF(B8=1,"OK",IF(IFERROR(INDEX(Stages!$I$6:$I$15,B8-1),"")="Verified","OK","⚠ Previous stage not verified yet")))</f>
        <v/>
      </c>
    </row>
    <row r="9" customFormat="false" ht="15" hidden="false" customHeight="false" outlineLevel="0" collapsed="false">
      <c r="A9" s="25"/>
      <c r="B9" s="30"/>
      <c r="C9" s="21" t="str">
        <f aca="false">IF(B9="","",IFERROR(INDEX(Stages!$B$6:$B$15,B9),"Unknown stage"))</f>
        <v/>
      </c>
      <c r="D9" s="26"/>
      <c r="E9" s="23"/>
      <c r="F9" s="23"/>
      <c r="G9" s="23"/>
      <c r="H9" s="21" t="str">
        <f aca="false">IF(B9="","",IF(B9=1,"OK",IF(IFERROR(INDEX(Stages!$I$6:$I$15,B9-1),"")="Verified","OK","⚠ Previous stage not verified yet")))</f>
        <v/>
      </c>
    </row>
    <row r="10" customFormat="false" ht="15" hidden="false" customHeight="false" outlineLevel="0" collapsed="false">
      <c r="A10" s="25"/>
      <c r="B10" s="30"/>
      <c r="C10" s="21" t="str">
        <f aca="false">IF(B10="","",IFERROR(INDEX(Stages!$B$6:$B$15,B10),"Unknown stage"))</f>
        <v/>
      </c>
      <c r="D10" s="26"/>
      <c r="E10" s="23"/>
      <c r="F10" s="23"/>
      <c r="G10" s="23"/>
      <c r="H10" s="21" t="str">
        <f aca="false">IF(B10="","",IF(B10=1,"OK",IF(IFERROR(INDEX(Stages!$I$6:$I$15,B10-1),"")="Verified","OK","⚠ Previous stage not verified yet")))</f>
        <v/>
      </c>
    </row>
    <row r="11" customFormat="false" ht="15" hidden="false" customHeight="false" outlineLevel="0" collapsed="false">
      <c r="A11" s="25"/>
      <c r="B11" s="30"/>
      <c r="C11" s="21" t="str">
        <f aca="false">IF(B11="","",IFERROR(INDEX(Stages!$B$6:$B$15,B11),"Unknown stage"))</f>
        <v/>
      </c>
      <c r="D11" s="26"/>
      <c r="E11" s="23"/>
      <c r="F11" s="23"/>
      <c r="G11" s="23"/>
      <c r="H11" s="21" t="str">
        <f aca="false">IF(B11="","",IF(B11=1,"OK",IF(IFERROR(INDEX(Stages!$I$6:$I$15,B11-1),"")="Verified","OK","⚠ Previous stage not verified yet")))</f>
        <v/>
      </c>
    </row>
    <row r="12" customFormat="false" ht="15" hidden="false" customHeight="false" outlineLevel="0" collapsed="false">
      <c r="A12" s="25"/>
      <c r="B12" s="30"/>
      <c r="C12" s="21" t="str">
        <f aca="false">IF(B12="","",IFERROR(INDEX(Stages!$B$6:$B$15,B12),"Unknown stage"))</f>
        <v/>
      </c>
      <c r="D12" s="26"/>
      <c r="E12" s="23"/>
      <c r="F12" s="23"/>
      <c r="G12" s="23"/>
      <c r="H12" s="21" t="str">
        <f aca="false">IF(B12="","",IF(B12=1,"OK",IF(IFERROR(INDEX(Stages!$I$6:$I$15,B12-1),"")="Verified","OK","⚠ Previous stage not verified yet")))</f>
        <v/>
      </c>
    </row>
    <row r="13" customFormat="false" ht="15" hidden="false" customHeight="false" outlineLevel="0" collapsed="false">
      <c r="A13" s="25"/>
      <c r="B13" s="30"/>
      <c r="C13" s="21" t="str">
        <f aca="false">IF(B13="","",IFERROR(INDEX(Stages!$B$6:$B$15,B13),"Unknown stage"))</f>
        <v/>
      </c>
      <c r="D13" s="26"/>
      <c r="E13" s="23"/>
      <c r="F13" s="23"/>
      <c r="G13" s="23"/>
      <c r="H13" s="21" t="str">
        <f aca="false">IF(B13="","",IF(B13=1,"OK",IF(IFERROR(INDEX(Stages!$I$6:$I$15,B13-1),"")="Verified","OK","⚠ Previous stage not verified yet")))</f>
        <v/>
      </c>
    </row>
    <row r="14" customFormat="false" ht="15" hidden="false" customHeight="false" outlineLevel="0" collapsed="false">
      <c r="A14" s="25"/>
      <c r="B14" s="30"/>
      <c r="C14" s="21" t="str">
        <f aca="false">IF(B14="","",IFERROR(INDEX(Stages!$B$6:$B$15,B14),"Unknown stage"))</f>
        <v/>
      </c>
      <c r="D14" s="26"/>
      <c r="E14" s="23"/>
      <c r="F14" s="23"/>
      <c r="G14" s="23"/>
      <c r="H14" s="21" t="str">
        <f aca="false">IF(B14="","",IF(B14=1,"OK",IF(IFERROR(INDEX(Stages!$I$6:$I$15,B14-1),"")="Verified","OK","⚠ Previous stage not verified yet")))</f>
        <v/>
      </c>
    </row>
    <row r="15" customFormat="false" ht="15" hidden="false" customHeight="false" outlineLevel="0" collapsed="false">
      <c r="A15" s="25"/>
      <c r="B15" s="30"/>
      <c r="C15" s="21" t="str">
        <f aca="false">IF(B15="","",IFERROR(INDEX(Stages!$B$6:$B$15,B15),"Unknown stage"))</f>
        <v/>
      </c>
      <c r="D15" s="26"/>
      <c r="E15" s="23"/>
      <c r="F15" s="23"/>
      <c r="G15" s="23"/>
      <c r="H15" s="21" t="str">
        <f aca="false">IF(B15="","",IF(B15=1,"OK",IF(IFERROR(INDEX(Stages!$I$6:$I$15,B15-1),"")="Verified","OK","⚠ Previous stage not verified yet")))</f>
        <v/>
      </c>
    </row>
    <row r="16" customFormat="false" ht="15" hidden="false" customHeight="false" outlineLevel="0" collapsed="false">
      <c r="A16" s="25"/>
      <c r="B16" s="30"/>
      <c r="C16" s="21" t="str">
        <f aca="false">IF(B16="","",IFERROR(INDEX(Stages!$B$6:$B$15,B16),"Unknown stage"))</f>
        <v/>
      </c>
      <c r="D16" s="26"/>
      <c r="E16" s="23"/>
      <c r="F16" s="23"/>
      <c r="G16" s="23"/>
      <c r="H16" s="21" t="str">
        <f aca="false">IF(B16="","",IF(B16=1,"OK",IF(IFERROR(INDEX(Stages!$I$6:$I$15,B16-1),"")="Verified","OK","⚠ Previous stage not verified yet")))</f>
        <v/>
      </c>
    </row>
    <row r="17" customFormat="false" ht="15" hidden="false" customHeight="false" outlineLevel="0" collapsed="false">
      <c r="A17" s="25"/>
      <c r="B17" s="30"/>
      <c r="C17" s="21" t="str">
        <f aca="false">IF(B17="","",IFERROR(INDEX(Stages!$B$6:$B$15,B17),"Unknown stage"))</f>
        <v/>
      </c>
      <c r="D17" s="26"/>
      <c r="E17" s="23"/>
      <c r="F17" s="23"/>
      <c r="G17" s="23"/>
      <c r="H17" s="21" t="str">
        <f aca="false">IF(B17="","",IF(B17=1,"OK",IF(IFERROR(INDEX(Stages!$I$6:$I$15,B17-1),"")="Verified","OK","⚠ Previous stage not verified yet")))</f>
        <v/>
      </c>
    </row>
    <row r="18" customFormat="false" ht="15" hidden="false" customHeight="false" outlineLevel="0" collapsed="false">
      <c r="A18" s="25"/>
      <c r="B18" s="30"/>
      <c r="C18" s="21" t="str">
        <f aca="false">IF(B18="","",IFERROR(INDEX(Stages!$B$6:$B$15,B18),"Unknown stage"))</f>
        <v/>
      </c>
      <c r="D18" s="26"/>
      <c r="E18" s="23"/>
      <c r="F18" s="23"/>
      <c r="G18" s="23"/>
      <c r="H18" s="21" t="str">
        <f aca="false">IF(B18="","",IF(B18=1,"OK",IF(IFERROR(INDEX(Stages!$I$6:$I$15,B18-1),"")="Verified","OK","⚠ Previous stage not verified yet")))</f>
        <v/>
      </c>
    </row>
    <row r="19" customFormat="false" ht="15" hidden="false" customHeight="false" outlineLevel="0" collapsed="false">
      <c r="A19" s="25"/>
      <c r="B19" s="30"/>
      <c r="C19" s="21" t="str">
        <f aca="false">IF(B19="","",IFERROR(INDEX(Stages!$B$6:$B$15,B19),"Unknown stage"))</f>
        <v/>
      </c>
      <c r="D19" s="26"/>
      <c r="E19" s="23"/>
      <c r="F19" s="23"/>
      <c r="G19" s="23"/>
      <c r="H19" s="21" t="str">
        <f aca="false">IF(B19="","",IF(B19=1,"OK",IF(IFERROR(INDEX(Stages!$I$6:$I$15,B19-1),"")="Verified","OK","⚠ Previous stage not verified yet")))</f>
        <v/>
      </c>
    </row>
    <row r="20" customFormat="false" ht="15" hidden="false" customHeight="false" outlineLevel="0" collapsed="false">
      <c r="A20" s="25"/>
      <c r="B20" s="30"/>
      <c r="C20" s="21" t="str">
        <f aca="false">IF(B20="","",IFERROR(INDEX(Stages!$B$6:$B$15,B20),"Unknown stage"))</f>
        <v/>
      </c>
      <c r="D20" s="26"/>
      <c r="E20" s="23"/>
      <c r="F20" s="23"/>
      <c r="G20" s="23"/>
      <c r="H20" s="21" t="str">
        <f aca="false">IF(B20="","",IF(B20=1,"OK",IF(IFERROR(INDEX(Stages!$I$6:$I$15,B20-1),"")="Verified","OK","⚠ Previous stage not verified yet")))</f>
        <v/>
      </c>
    </row>
    <row r="21" customFormat="false" ht="15" hidden="false" customHeight="false" outlineLevel="0" collapsed="false">
      <c r="A21" s="25"/>
      <c r="B21" s="30"/>
      <c r="C21" s="21" t="str">
        <f aca="false">IF(B21="","",IFERROR(INDEX(Stages!$B$6:$B$15,B21),"Unknown stage"))</f>
        <v/>
      </c>
      <c r="D21" s="26"/>
      <c r="E21" s="23"/>
      <c r="F21" s="23"/>
      <c r="G21" s="23"/>
      <c r="H21" s="21" t="str">
        <f aca="false">IF(B21="","",IF(B21=1,"OK",IF(IFERROR(INDEX(Stages!$I$6:$I$15,B21-1),"")="Verified","OK","⚠ Previous stage not verified yet")))</f>
        <v/>
      </c>
    </row>
    <row r="22" customFormat="false" ht="15" hidden="false" customHeight="false" outlineLevel="0" collapsed="false">
      <c r="A22" s="25"/>
      <c r="B22" s="30"/>
      <c r="C22" s="21" t="str">
        <f aca="false">IF(B22="","",IFERROR(INDEX(Stages!$B$6:$B$15,B22),"Unknown stage"))</f>
        <v/>
      </c>
      <c r="D22" s="26"/>
      <c r="E22" s="23"/>
      <c r="F22" s="23"/>
      <c r="G22" s="23"/>
      <c r="H22" s="21" t="str">
        <f aca="false">IF(B22="","",IF(B22=1,"OK",IF(IFERROR(INDEX(Stages!$I$6:$I$15,B22-1),"")="Verified","OK","⚠ Previous stage not verified yet")))</f>
        <v/>
      </c>
    </row>
    <row r="23" customFormat="false" ht="15" hidden="false" customHeight="false" outlineLevel="0" collapsed="false">
      <c r="A23" s="25"/>
      <c r="B23" s="30"/>
      <c r="C23" s="21" t="str">
        <f aca="false">IF(B23="","",IFERROR(INDEX(Stages!$B$6:$B$15,B23),"Unknown stage"))</f>
        <v/>
      </c>
      <c r="D23" s="26"/>
      <c r="E23" s="23"/>
      <c r="F23" s="23"/>
      <c r="G23" s="23"/>
      <c r="H23" s="21" t="str">
        <f aca="false">IF(B23="","",IF(B23=1,"OK",IF(IFERROR(INDEX(Stages!$I$6:$I$15,B23-1),"")="Verified","OK","⚠ Previous stage not verified yet")))</f>
        <v/>
      </c>
    </row>
    <row r="24" customFormat="false" ht="15" hidden="false" customHeight="false" outlineLevel="0" collapsed="false">
      <c r="A24" s="25"/>
      <c r="B24" s="30"/>
      <c r="C24" s="21" t="str">
        <f aca="false">IF(B24="","",IFERROR(INDEX(Stages!$B$6:$B$15,B24),"Unknown stage"))</f>
        <v/>
      </c>
      <c r="D24" s="26"/>
      <c r="E24" s="23"/>
      <c r="F24" s="23"/>
      <c r="G24" s="23"/>
      <c r="H24" s="21" t="str">
        <f aca="false">IF(B24="","",IF(B24=1,"OK",IF(IFERROR(INDEX(Stages!$I$6:$I$15,B24-1),"")="Verified","OK","⚠ Previous stage not verified yet")))</f>
        <v/>
      </c>
    </row>
    <row r="25" customFormat="false" ht="15" hidden="false" customHeight="false" outlineLevel="0" collapsed="false">
      <c r="A25" s="25"/>
      <c r="B25" s="30"/>
      <c r="C25" s="21" t="str">
        <f aca="false">IF(B25="","",IFERROR(INDEX(Stages!$B$6:$B$15,B25),"Unknown stage"))</f>
        <v/>
      </c>
      <c r="D25" s="26"/>
      <c r="E25" s="23"/>
      <c r="F25" s="23"/>
      <c r="G25" s="23"/>
      <c r="H25" s="21" t="str">
        <f aca="false">IF(B25="","",IF(B25=1,"OK",IF(IFERROR(INDEX(Stages!$I$6:$I$15,B25-1),"")="Verified","OK","⚠ Previous stage not verified yet")))</f>
        <v/>
      </c>
    </row>
    <row r="26" customFormat="false" ht="15" hidden="false" customHeight="false" outlineLevel="0" collapsed="false">
      <c r="A26" s="25"/>
      <c r="B26" s="30"/>
      <c r="C26" s="21" t="str">
        <f aca="false">IF(B26="","",IFERROR(INDEX(Stages!$B$6:$B$15,B26),"Unknown stage"))</f>
        <v/>
      </c>
      <c r="D26" s="26"/>
      <c r="E26" s="23"/>
      <c r="F26" s="23"/>
      <c r="G26" s="23"/>
      <c r="H26" s="21" t="str">
        <f aca="false">IF(B26="","",IF(B26=1,"OK",IF(IFERROR(INDEX(Stages!$I$6:$I$15,B26-1),"")="Verified","OK","⚠ Previous stage not verified yet")))</f>
        <v/>
      </c>
    </row>
    <row r="27" customFormat="false" ht="15" hidden="false" customHeight="false" outlineLevel="0" collapsed="false">
      <c r="A27" s="25"/>
      <c r="B27" s="30"/>
      <c r="C27" s="21" t="str">
        <f aca="false">IF(B27="","",IFERROR(INDEX(Stages!$B$6:$B$15,B27),"Unknown stage"))</f>
        <v/>
      </c>
      <c r="D27" s="26"/>
      <c r="E27" s="23"/>
      <c r="F27" s="23"/>
      <c r="G27" s="23"/>
      <c r="H27" s="21" t="str">
        <f aca="false">IF(B27="","",IF(B27=1,"OK",IF(IFERROR(INDEX(Stages!$I$6:$I$15,B27-1),"")="Verified","OK","⚠ Previous stage not verified yet")))</f>
        <v/>
      </c>
    </row>
    <row r="28" customFormat="false" ht="15" hidden="false" customHeight="false" outlineLevel="0" collapsed="false">
      <c r="A28" s="25"/>
      <c r="B28" s="30"/>
      <c r="C28" s="21" t="str">
        <f aca="false">IF(B28="","",IFERROR(INDEX(Stages!$B$6:$B$15,B28),"Unknown stage"))</f>
        <v/>
      </c>
      <c r="D28" s="26"/>
      <c r="E28" s="23"/>
      <c r="F28" s="23"/>
      <c r="G28" s="23"/>
      <c r="H28" s="21" t="str">
        <f aca="false">IF(B28="","",IF(B28=1,"OK",IF(IFERROR(INDEX(Stages!$I$6:$I$15,B28-1),"")="Verified","OK","⚠ Previous stage not verified yet")))</f>
        <v/>
      </c>
    </row>
    <row r="29" customFormat="false" ht="15" hidden="false" customHeight="false" outlineLevel="0" collapsed="false">
      <c r="A29" s="25"/>
      <c r="B29" s="30"/>
      <c r="C29" s="21" t="str">
        <f aca="false">IF(B29="","",IFERROR(INDEX(Stages!$B$6:$B$15,B29),"Unknown stage"))</f>
        <v/>
      </c>
      <c r="D29" s="26"/>
      <c r="E29" s="23"/>
      <c r="F29" s="23"/>
      <c r="G29" s="23"/>
      <c r="H29" s="21" t="str">
        <f aca="false">IF(B29="","",IF(B29=1,"OK",IF(IFERROR(INDEX(Stages!$I$6:$I$15,B29-1),"")="Verified","OK","⚠ Previous stage not verified yet")))</f>
        <v/>
      </c>
    </row>
    <row r="30" customFormat="false" ht="15" hidden="false" customHeight="false" outlineLevel="0" collapsed="false">
      <c r="A30" s="25"/>
      <c r="B30" s="30"/>
      <c r="C30" s="21" t="str">
        <f aca="false">IF(B30="","",IFERROR(INDEX(Stages!$B$6:$B$15,B30),"Unknown stage"))</f>
        <v/>
      </c>
      <c r="D30" s="26"/>
      <c r="E30" s="23"/>
      <c r="F30" s="23"/>
      <c r="G30" s="23"/>
      <c r="H30" s="21" t="str">
        <f aca="false">IF(B30="","",IF(B30=1,"OK",IF(IFERROR(INDEX(Stages!$I$6:$I$15,B30-1),"")="Verified","OK","⚠ Previous stage not verified yet")))</f>
        <v/>
      </c>
    </row>
    <row r="31" customFormat="false" ht="15" hidden="false" customHeight="false" outlineLevel="0" collapsed="false">
      <c r="A31" s="25"/>
      <c r="B31" s="30"/>
      <c r="C31" s="21" t="str">
        <f aca="false">IF(B31="","",IFERROR(INDEX(Stages!$B$6:$B$15,B31),"Unknown stage"))</f>
        <v/>
      </c>
      <c r="D31" s="26"/>
      <c r="E31" s="23"/>
      <c r="F31" s="23"/>
      <c r="G31" s="23"/>
      <c r="H31" s="21" t="str">
        <f aca="false">IF(B31="","",IF(B31=1,"OK",IF(IFERROR(INDEX(Stages!$I$6:$I$15,B31-1),"")="Verified","OK","⚠ Previous stage not verified yet")))</f>
        <v/>
      </c>
    </row>
    <row r="32" customFormat="false" ht="15" hidden="false" customHeight="false" outlineLevel="0" collapsed="false">
      <c r="A32" s="25"/>
      <c r="B32" s="30"/>
      <c r="C32" s="21" t="str">
        <f aca="false">IF(B32="","",IFERROR(INDEX(Stages!$B$6:$B$15,B32),"Unknown stage"))</f>
        <v/>
      </c>
      <c r="D32" s="26"/>
      <c r="E32" s="23"/>
      <c r="F32" s="23"/>
      <c r="G32" s="23"/>
      <c r="H32" s="21" t="str">
        <f aca="false">IF(B32="","",IF(B32=1,"OK",IF(IFERROR(INDEX(Stages!$I$6:$I$15,B32-1),"")="Verified","OK","⚠ Previous stage not verified yet")))</f>
        <v/>
      </c>
    </row>
    <row r="33" customFormat="false" ht="15" hidden="false" customHeight="false" outlineLevel="0" collapsed="false">
      <c r="A33" s="25"/>
      <c r="B33" s="30"/>
      <c r="C33" s="21" t="str">
        <f aca="false">IF(B33="","",IFERROR(INDEX(Stages!$B$6:$B$15,B33),"Unknown stage"))</f>
        <v/>
      </c>
      <c r="D33" s="26"/>
      <c r="E33" s="23"/>
      <c r="F33" s="23"/>
      <c r="G33" s="23"/>
      <c r="H33" s="21" t="str">
        <f aca="false">IF(B33="","",IF(B33=1,"OK",IF(IFERROR(INDEX(Stages!$I$6:$I$15,B33-1),"")="Verified","OK","⚠ Previous stage not verified yet")))</f>
        <v/>
      </c>
    </row>
    <row r="34" customFormat="false" ht="15" hidden="false" customHeight="false" outlineLevel="0" collapsed="false">
      <c r="A34" s="25"/>
      <c r="B34" s="30"/>
      <c r="C34" s="21" t="str">
        <f aca="false">IF(B34="","",IFERROR(INDEX(Stages!$B$6:$B$15,B34),"Unknown stage"))</f>
        <v/>
      </c>
      <c r="D34" s="26"/>
      <c r="E34" s="23"/>
      <c r="F34" s="23"/>
      <c r="G34" s="23"/>
      <c r="H34" s="21" t="str">
        <f aca="false">IF(B34="","",IF(B34=1,"OK",IF(IFERROR(INDEX(Stages!$I$6:$I$15,B34-1),"")="Verified","OK","⚠ Previous stage not verified yet")))</f>
        <v/>
      </c>
    </row>
    <row r="35" customFormat="false" ht="15" hidden="false" customHeight="false" outlineLevel="0" collapsed="false">
      <c r="A35" s="25"/>
      <c r="B35" s="30"/>
      <c r="C35" s="21" t="str">
        <f aca="false">IF(B35="","",IFERROR(INDEX(Stages!$B$6:$B$15,B35),"Unknown stage"))</f>
        <v/>
      </c>
      <c r="D35" s="26"/>
      <c r="E35" s="23"/>
      <c r="F35" s="23"/>
      <c r="G35" s="23"/>
      <c r="H35" s="21" t="str">
        <f aca="false">IF(B35="","",IF(B35=1,"OK",IF(IFERROR(INDEX(Stages!$I$6:$I$15,B35-1),"")="Verified","OK","⚠ Previous stage not verified yet")))</f>
        <v/>
      </c>
    </row>
    <row r="36" customFormat="false" ht="15" hidden="false" customHeight="false" outlineLevel="0" collapsed="false">
      <c r="A36" s="25"/>
      <c r="B36" s="30"/>
      <c r="C36" s="21" t="str">
        <f aca="false">IF(B36="","",IFERROR(INDEX(Stages!$B$6:$B$15,B36),"Unknown stage"))</f>
        <v/>
      </c>
      <c r="D36" s="26"/>
      <c r="E36" s="23"/>
      <c r="F36" s="23"/>
      <c r="G36" s="23"/>
      <c r="H36" s="21" t="str">
        <f aca="false">IF(B36="","",IF(B36=1,"OK",IF(IFERROR(INDEX(Stages!$I$6:$I$15,B36-1),"")="Verified","OK","⚠ Previous stage not verified yet")))</f>
        <v/>
      </c>
    </row>
    <row r="37" customFormat="false" ht="15" hidden="false" customHeight="false" outlineLevel="0" collapsed="false">
      <c r="A37" s="25"/>
      <c r="B37" s="30"/>
      <c r="C37" s="21" t="str">
        <f aca="false">IF(B37="","",IFERROR(INDEX(Stages!$B$6:$B$15,B37),"Unknown stage"))</f>
        <v/>
      </c>
      <c r="D37" s="26"/>
      <c r="E37" s="23"/>
      <c r="F37" s="23"/>
      <c r="G37" s="23"/>
      <c r="H37" s="21" t="str">
        <f aca="false">IF(B37="","",IF(B37=1,"OK",IF(IFERROR(INDEX(Stages!$I$6:$I$15,B37-1),"")="Verified","OK","⚠ Previous stage not verified yet")))</f>
        <v/>
      </c>
    </row>
    <row r="38" customFormat="false" ht="15" hidden="false" customHeight="false" outlineLevel="0" collapsed="false">
      <c r="A38" s="25"/>
      <c r="B38" s="30"/>
      <c r="C38" s="21" t="str">
        <f aca="false">IF(B38="","",IFERROR(INDEX(Stages!$B$6:$B$15,B38),"Unknown stage"))</f>
        <v/>
      </c>
      <c r="D38" s="26"/>
      <c r="E38" s="23"/>
      <c r="F38" s="23"/>
      <c r="G38" s="23"/>
      <c r="H38" s="21" t="str">
        <f aca="false">IF(B38="","",IF(B38=1,"OK",IF(IFERROR(INDEX(Stages!$I$6:$I$15,B38-1),"")="Verified","OK","⚠ Previous stage not verified yet")))</f>
        <v/>
      </c>
    </row>
    <row r="39" customFormat="false" ht="15" hidden="false" customHeight="false" outlineLevel="0" collapsed="false">
      <c r="A39" s="25"/>
      <c r="B39" s="30"/>
      <c r="C39" s="21" t="str">
        <f aca="false">IF(B39="","",IFERROR(INDEX(Stages!$B$6:$B$15,B39),"Unknown stage"))</f>
        <v/>
      </c>
      <c r="D39" s="26"/>
      <c r="E39" s="23"/>
      <c r="F39" s="23"/>
      <c r="G39" s="23"/>
      <c r="H39" s="21" t="str">
        <f aca="false">IF(B39="","",IF(B39=1,"OK",IF(IFERROR(INDEX(Stages!$I$6:$I$15,B39-1),"")="Verified","OK","⚠ Previous stage not verified yet")))</f>
        <v/>
      </c>
    </row>
    <row r="40" customFormat="false" ht="15" hidden="false" customHeight="false" outlineLevel="0" collapsed="false">
      <c r="A40" s="25"/>
      <c r="B40" s="30"/>
      <c r="C40" s="21" t="str">
        <f aca="false">IF(B40="","",IFERROR(INDEX(Stages!$B$6:$B$15,B40),"Unknown stage"))</f>
        <v/>
      </c>
      <c r="D40" s="26"/>
      <c r="E40" s="23"/>
      <c r="F40" s="23"/>
      <c r="G40" s="23"/>
      <c r="H40" s="21" t="str">
        <f aca="false">IF(B40="","",IF(B40=1,"OK",IF(IFERROR(INDEX(Stages!$I$6:$I$15,B40-1),"")="Verified","OK","⚠ Previous stage not verified yet")))</f>
        <v/>
      </c>
    </row>
    <row r="41" customFormat="false" ht="15" hidden="false" customHeight="false" outlineLevel="0" collapsed="false">
      <c r="A41" s="25"/>
      <c r="B41" s="30"/>
      <c r="C41" s="21" t="str">
        <f aca="false">IF(B41="","",IFERROR(INDEX(Stages!$B$6:$B$15,B41),"Unknown stage"))</f>
        <v/>
      </c>
      <c r="D41" s="26"/>
      <c r="E41" s="23"/>
      <c r="F41" s="23"/>
      <c r="G41" s="23"/>
      <c r="H41" s="21" t="str">
        <f aca="false">IF(B41="","",IF(B41=1,"OK",IF(IFERROR(INDEX(Stages!$I$6:$I$15,B41-1),"")="Verified","OK","⚠ Previous stage not verified yet")))</f>
        <v/>
      </c>
    </row>
    <row r="42" customFormat="false" ht="15" hidden="false" customHeight="false" outlineLevel="0" collapsed="false">
      <c r="A42" s="25"/>
      <c r="B42" s="30"/>
      <c r="C42" s="21" t="str">
        <f aca="false">IF(B42="","",IFERROR(INDEX(Stages!$B$6:$B$15,B42),"Unknown stage"))</f>
        <v/>
      </c>
      <c r="D42" s="26"/>
      <c r="E42" s="23"/>
      <c r="F42" s="23"/>
      <c r="G42" s="23"/>
      <c r="H42" s="21" t="str">
        <f aca="false">IF(B42="","",IF(B42=1,"OK",IF(IFERROR(INDEX(Stages!$I$6:$I$15,B42-1),"")="Verified","OK","⚠ Previous stage not verified yet")))</f>
        <v/>
      </c>
    </row>
    <row r="43" customFormat="false" ht="15" hidden="false" customHeight="false" outlineLevel="0" collapsed="false">
      <c r="A43" s="25"/>
      <c r="B43" s="30"/>
      <c r="C43" s="21" t="str">
        <f aca="false">IF(B43="","",IFERROR(INDEX(Stages!$B$6:$B$15,B43),"Unknown stage"))</f>
        <v/>
      </c>
      <c r="D43" s="26"/>
      <c r="E43" s="23"/>
      <c r="F43" s="23"/>
      <c r="G43" s="23"/>
      <c r="H43" s="21" t="str">
        <f aca="false">IF(B43="","",IF(B43=1,"OK",IF(IFERROR(INDEX(Stages!$I$6:$I$15,B43-1),"")="Verified","OK","⚠ Previous stage not verified yet")))</f>
        <v/>
      </c>
    </row>
    <row r="44" customFormat="false" ht="15" hidden="false" customHeight="false" outlineLevel="0" collapsed="false">
      <c r="A44" s="25"/>
      <c r="B44" s="30"/>
      <c r="C44" s="21" t="str">
        <f aca="false">IF(B44="","",IFERROR(INDEX(Stages!$B$6:$B$15,B44),"Unknown stage"))</f>
        <v/>
      </c>
      <c r="D44" s="26"/>
      <c r="E44" s="23"/>
      <c r="F44" s="23"/>
      <c r="G44" s="23"/>
      <c r="H44" s="21" t="str">
        <f aca="false">IF(B44="","",IF(B44=1,"OK",IF(IFERROR(INDEX(Stages!$I$6:$I$15,B44-1),"")="Verified","OK","⚠ Previous stage not verified yet")))</f>
        <v/>
      </c>
    </row>
    <row r="45" customFormat="false" ht="15" hidden="false" customHeight="false" outlineLevel="0" collapsed="false">
      <c r="A45" s="25"/>
      <c r="B45" s="30"/>
      <c r="C45" s="21" t="str">
        <f aca="false">IF(B45="","",IFERROR(INDEX(Stages!$B$6:$B$15,B45),"Unknown stage"))</f>
        <v/>
      </c>
      <c r="D45" s="26"/>
      <c r="E45" s="23"/>
      <c r="F45" s="23"/>
      <c r="G45" s="23"/>
      <c r="H45" s="21" t="str">
        <f aca="false">IF(B45="","",IF(B45=1,"OK",IF(IFERROR(INDEX(Stages!$I$6:$I$15,B45-1),"")="Verified","OK","⚠ Previous stage not verified yet")))</f>
        <v/>
      </c>
    </row>
    <row r="46" customFormat="false" ht="15" hidden="false" customHeight="false" outlineLevel="0" collapsed="false">
      <c r="A46" s="25"/>
      <c r="B46" s="30"/>
      <c r="C46" s="21" t="str">
        <f aca="false">IF(B46="","",IFERROR(INDEX(Stages!$B$6:$B$15,B46),"Unknown stage"))</f>
        <v/>
      </c>
      <c r="D46" s="26"/>
      <c r="E46" s="23"/>
      <c r="F46" s="23"/>
      <c r="G46" s="23"/>
      <c r="H46" s="21" t="str">
        <f aca="false">IF(B46="","",IF(B46=1,"OK",IF(IFERROR(INDEX(Stages!$I$6:$I$15,B46-1),"")="Verified","OK","⚠ Previous stage not verified yet")))</f>
        <v/>
      </c>
    </row>
    <row r="47" customFormat="false" ht="15" hidden="false" customHeight="false" outlineLevel="0" collapsed="false">
      <c r="A47" s="25"/>
      <c r="B47" s="30"/>
      <c r="C47" s="21" t="str">
        <f aca="false">IF(B47="","",IFERROR(INDEX(Stages!$B$6:$B$15,B47),"Unknown stage"))</f>
        <v/>
      </c>
      <c r="D47" s="26"/>
      <c r="E47" s="23"/>
      <c r="F47" s="23"/>
      <c r="G47" s="23"/>
      <c r="H47" s="21" t="str">
        <f aca="false">IF(B47="","",IF(B47=1,"OK",IF(IFERROR(INDEX(Stages!$I$6:$I$15,B47-1),"")="Verified","OK","⚠ Previous stage not verified yet")))</f>
        <v/>
      </c>
    </row>
    <row r="48" customFormat="false" ht="15" hidden="false" customHeight="false" outlineLevel="0" collapsed="false">
      <c r="A48" s="25"/>
      <c r="B48" s="30"/>
      <c r="C48" s="21" t="str">
        <f aca="false">IF(B48="","",IFERROR(INDEX(Stages!$B$6:$B$15,B48),"Unknown stage"))</f>
        <v/>
      </c>
      <c r="D48" s="26"/>
      <c r="E48" s="23"/>
      <c r="F48" s="23"/>
      <c r="G48" s="23"/>
      <c r="H48" s="21" t="str">
        <f aca="false">IF(B48="","",IF(B48=1,"OK",IF(IFERROR(INDEX(Stages!$I$6:$I$15,B48-1),"")="Verified","OK","⚠ Previous stage not verified yet")))</f>
        <v/>
      </c>
    </row>
    <row r="49" customFormat="false" ht="15" hidden="false" customHeight="false" outlineLevel="0" collapsed="false">
      <c r="A49" s="25"/>
      <c r="B49" s="30"/>
      <c r="C49" s="21" t="str">
        <f aca="false">IF(B49="","",IFERROR(INDEX(Stages!$B$6:$B$15,B49),"Unknown stage"))</f>
        <v/>
      </c>
      <c r="D49" s="26"/>
      <c r="E49" s="23"/>
      <c r="F49" s="23"/>
      <c r="G49" s="23"/>
      <c r="H49" s="21" t="str">
        <f aca="false">IF(B49="","",IF(B49=1,"OK",IF(IFERROR(INDEX(Stages!$I$6:$I$15,B49-1),"")="Verified","OK","⚠ Previous stage not verified yet")))</f>
        <v/>
      </c>
    </row>
    <row r="50" customFormat="false" ht="15" hidden="false" customHeight="false" outlineLevel="0" collapsed="false">
      <c r="A50" s="25"/>
      <c r="B50" s="30"/>
      <c r="C50" s="21" t="str">
        <f aca="false">IF(B50="","",IFERROR(INDEX(Stages!$B$6:$B$15,B50),"Unknown stage"))</f>
        <v/>
      </c>
      <c r="D50" s="26"/>
      <c r="E50" s="23"/>
      <c r="F50" s="23"/>
      <c r="G50" s="23"/>
      <c r="H50" s="21" t="str">
        <f aca="false">IF(B50="","",IF(B50=1,"OK",IF(IFERROR(INDEX(Stages!$I$6:$I$15,B50-1),"")="Verified","OK","⚠ Previous stage not verified yet")))</f>
        <v/>
      </c>
    </row>
    <row r="51" customFormat="false" ht="15" hidden="false" customHeight="false" outlineLevel="0" collapsed="false">
      <c r="A51" s="25"/>
      <c r="B51" s="30"/>
      <c r="C51" s="21" t="str">
        <f aca="false">IF(B51="","",IFERROR(INDEX(Stages!$B$6:$B$15,B51),"Unknown stage"))</f>
        <v/>
      </c>
      <c r="D51" s="26"/>
      <c r="E51" s="23"/>
      <c r="F51" s="23"/>
      <c r="G51" s="23"/>
      <c r="H51" s="21" t="str">
        <f aca="false">IF(B51="","",IF(B51=1,"OK",IF(IFERROR(INDEX(Stages!$I$6:$I$15,B51-1),"")="Verified","OK","⚠ Previous stage not verified yet")))</f>
        <v/>
      </c>
    </row>
    <row r="52" customFormat="false" ht="15" hidden="false" customHeight="false" outlineLevel="0" collapsed="false">
      <c r="A52" s="25"/>
      <c r="B52" s="30"/>
      <c r="C52" s="21" t="str">
        <f aca="false">IF(B52="","",IFERROR(INDEX(Stages!$B$6:$B$15,B52),"Unknown stage"))</f>
        <v/>
      </c>
      <c r="D52" s="26"/>
      <c r="E52" s="23"/>
      <c r="F52" s="23"/>
      <c r="G52" s="23"/>
      <c r="H52" s="21" t="str">
        <f aca="false">IF(B52="","",IF(B52=1,"OK",IF(IFERROR(INDEX(Stages!$I$6:$I$15,B52-1),"")="Verified","OK","⚠ Previous stage not verified yet")))</f>
        <v/>
      </c>
    </row>
    <row r="53" customFormat="false" ht="15" hidden="false" customHeight="false" outlineLevel="0" collapsed="false">
      <c r="A53" s="25"/>
      <c r="B53" s="30"/>
      <c r="C53" s="21" t="str">
        <f aca="false">IF(B53="","",IFERROR(INDEX(Stages!$B$6:$B$15,B53),"Unknown stage"))</f>
        <v/>
      </c>
      <c r="D53" s="26"/>
      <c r="E53" s="23"/>
      <c r="F53" s="23"/>
      <c r="G53" s="23"/>
      <c r="H53" s="21" t="str">
        <f aca="false">IF(B53="","",IF(B53=1,"OK",IF(IFERROR(INDEX(Stages!$I$6:$I$15,B53-1),"")="Verified","OK","⚠ Previous stage not verified yet")))</f>
        <v/>
      </c>
    </row>
    <row r="54" customFormat="false" ht="15" hidden="false" customHeight="false" outlineLevel="0" collapsed="false">
      <c r="A54" s="25"/>
      <c r="B54" s="30"/>
      <c r="C54" s="21" t="str">
        <f aca="false">IF(B54="","",IFERROR(INDEX(Stages!$B$6:$B$15,B54),"Unknown stage"))</f>
        <v/>
      </c>
      <c r="D54" s="26"/>
      <c r="E54" s="23"/>
      <c r="F54" s="23"/>
      <c r="G54" s="23"/>
      <c r="H54" s="21" t="str">
        <f aca="false">IF(B54="","",IF(B54=1,"OK",IF(IFERROR(INDEX(Stages!$I$6:$I$15,B54-1),"")="Verified","OK","⚠ Previous stage not verified yet")))</f>
        <v/>
      </c>
    </row>
    <row r="55" customFormat="false" ht="15" hidden="false" customHeight="false" outlineLevel="0" collapsed="false">
      <c r="A55" s="25"/>
      <c r="B55" s="30"/>
      <c r="C55" s="21" t="str">
        <f aca="false">IF(B55="","",IFERROR(INDEX(Stages!$B$6:$B$15,B55),"Unknown stage"))</f>
        <v/>
      </c>
      <c r="D55" s="26"/>
      <c r="E55" s="23"/>
      <c r="F55" s="23"/>
      <c r="G55" s="23"/>
      <c r="H55" s="21" t="str">
        <f aca="false">IF(B55="","",IF(B55=1,"OK",IF(IFERROR(INDEX(Stages!$I$6:$I$15,B55-1),"")="Verified","OK","⚠ Previous stage not verified yet")))</f>
        <v/>
      </c>
    </row>
    <row r="56" customFormat="false" ht="15" hidden="false" customHeight="false" outlineLevel="0" collapsed="false">
      <c r="A56" s="25"/>
      <c r="B56" s="30"/>
      <c r="C56" s="21" t="str">
        <f aca="false">IF(B56="","",IFERROR(INDEX(Stages!$B$6:$B$15,B56),"Unknown stage"))</f>
        <v/>
      </c>
      <c r="D56" s="26"/>
      <c r="E56" s="23"/>
      <c r="F56" s="23"/>
      <c r="G56" s="23"/>
      <c r="H56" s="21" t="str">
        <f aca="false">IF(B56="","",IF(B56=1,"OK",IF(IFERROR(INDEX(Stages!$I$6:$I$15,B56-1),"")="Verified","OK","⚠ Previous stage not verified yet")))</f>
        <v/>
      </c>
    </row>
    <row r="57" customFormat="false" ht="15" hidden="false" customHeight="false" outlineLevel="0" collapsed="false">
      <c r="A57" s="25"/>
      <c r="B57" s="30"/>
      <c r="C57" s="21" t="str">
        <f aca="false">IF(B57="","",IFERROR(INDEX(Stages!$B$6:$B$15,B57),"Unknown stage"))</f>
        <v/>
      </c>
      <c r="D57" s="26"/>
      <c r="E57" s="23"/>
      <c r="F57" s="23"/>
      <c r="G57" s="23"/>
      <c r="H57" s="21" t="str">
        <f aca="false">IF(B57="","",IF(B57=1,"OK",IF(IFERROR(INDEX(Stages!$I$6:$I$15,B57-1),"")="Verified","OK","⚠ Previous stage not verified yet")))</f>
        <v/>
      </c>
    </row>
    <row r="58" customFormat="false" ht="15" hidden="false" customHeight="false" outlineLevel="0" collapsed="false">
      <c r="A58" s="25"/>
      <c r="B58" s="30"/>
      <c r="C58" s="21" t="str">
        <f aca="false">IF(B58="","",IFERROR(INDEX(Stages!$B$6:$B$15,B58),"Unknown stage"))</f>
        <v/>
      </c>
      <c r="D58" s="26"/>
      <c r="E58" s="23"/>
      <c r="F58" s="23"/>
      <c r="G58" s="23"/>
      <c r="H58" s="21" t="str">
        <f aca="false">IF(B58="","",IF(B58=1,"OK",IF(IFERROR(INDEX(Stages!$I$6:$I$15,B58-1),"")="Verified","OK","⚠ Previous stage not verified yet")))</f>
        <v/>
      </c>
    </row>
    <row r="59" customFormat="false" ht="15" hidden="false" customHeight="false" outlineLevel="0" collapsed="false">
      <c r="A59" s="25"/>
      <c r="B59" s="30"/>
      <c r="C59" s="21" t="str">
        <f aca="false">IF(B59="","",IFERROR(INDEX(Stages!$B$6:$B$15,B59),"Unknown stage"))</f>
        <v/>
      </c>
      <c r="D59" s="26"/>
      <c r="E59" s="23"/>
      <c r="F59" s="23"/>
      <c r="G59" s="23"/>
      <c r="H59" s="21" t="str">
        <f aca="false">IF(B59="","",IF(B59=1,"OK",IF(IFERROR(INDEX(Stages!$I$6:$I$15,B59-1),"")="Verified","OK","⚠ Previous stage not verified yet")))</f>
        <v/>
      </c>
    </row>
    <row r="60" customFormat="false" ht="15" hidden="false" customHeight="false" outlineLevel="0" collapsed="false">
      <c r="A60" s="25"/>
      <c r="B60" s="30"/>
      <c r="C60" s="21" t="str">
        <f aca="false">IF(B60="","",IFERROR(INDEX(Stages!$B$6:$B$15,B60),"Unknown stage"))</f>
        <v/>
      </c>
      <c r="D60" s="26"/>
      <c r="E60" s="23"/>
      <c r="F60" s="23"/>
      <c r="G60" s="23"/>
      <c r="H60" s="21" t="str">
        <f aca="false">IF(B60="","",IF(B60=1,"OK",IF(IFERROR(INDEX(Stages!$I$6:$I$15,B60-1),"")="Verified","OK","⚠ Previous stage not verified yet")))</f>
        <v/>
      </c>
    </row>
    <row r="61" customFormat="false" ht="15" hidden="false" customHeight="false" outlineLevel="0" collapsed="false">
      <c r="A61" s="25"/>
      <c r="B61" s="30"/>
      <c r="C61" s="21" t="str">
        <f aca="false">IF(B61="","",IFERROR(INDEX(Stages!$B$6:$B$15,B61),"Unknown stage"))</f>
        <v/>
      </c>
      <c r="D61" s="26"/>
      <c r="E61" s="23"/>
      <c r="F61" s="23"/>
      <c r="G61" s="23"/>
      <c r="H61" s="21" t="str">
        <f aca="false">IF(B61="","",IF(B61=1,"OK",IF(IFERROR(INDEX(Stages!$I$6:$I$15,B61-1),"")="Verified","OK","⚠ Previous stage not verified yet")))</f>
        <v/>
      </c>
    </row>
    <row r="62" customFormat="false" ht="15" hidden="false" customHeight="false" outlineLevel="0" collapsed="false">
      <c r="A62" s="25"/>
      <c r="B62" s="30"/>
      <c r="C62" s="21" t="str">
        <f aca="false">IF(B62="","",IFERROR(INDEX(Stages!$B$6:$B$15,B62),"Unknown stage"))</f>
        <v/>
      </c>
      <c r="D62" s="26"/>
      <c r="E62" s="23"/>
      <c r="F62" s="23"/>
      <c r="G62" s="23"/>
      <c r="H62" s="21" t="str">
        <f aca="false">IF(B62="","",IF(B62=1,"OK",IF(IFERROR(INDEX(Stages!$I$6:$I$15,B62-1),"")="Verified","OK","⚠ Previous stage not verified yet")))</f>
        <v/>
      </c>
    </row>
    <row r="63" customFormat="false" ht="15" hidden="false" customHeight="false" outlineLevel="0" collapsed="false">
      <c r="A63" s="25"/>
      <c r="B63" s="30"/>
      <c r="C63" s="21" t="str">
        <f aca="false">IF(B63="","",IFERROR(INDEX(Stages!$B$6:$B$15,B63),"Unknown stage"))</f>
        <v/>
      </c>
      <c r="D63" s="26"/>
      <c r="E63" s="23"/>
      <c r="F63" s="23"/>
      <c r="G63" s="23"/>
      <c r="H63" s="21" t="str">
        <f aca="false">IF(B63="","",IF(B63=1,"OK",IF(IFERROR(INDEX(Stages!$I$6:$I$15,B63-1),"")="Verified","OK","⚠ Previous stage not verified yet")))</f>
        <v/>
      </c>
    </row>
    <row r="64" customFormat="false" ht="15" hidden="false" customHeight="false" outlineLevel="0" collapsed="false">
      <c r="A64" s="25"/>
      <c r="B64" s="30"/>
      <c r="C64" s="21" t="str">
        <f aca="false">IF(B64="","",IFERROR(INDEX(Stages!$B$6:$B$15,B64),"Unknown stage"))</f>
        <v/>
      </c>
      <c r="D64" s="26"/>
      <c r="E64" s="23"/>
      <c r="F64" s="23"/>
      <c r="G64" s="23"/>
      <c r="H64" s="21" t="str">
        <f aca="false">IF(B64="","",IF(B64=1,"OK",IF(IFERROR(INDEX(Stages!$I$6:$I$15,B64-1),"")="Verified","OK","⚠ Previous stage not verified yet")))</f>
        <v/>
      </c>
    </row>
    <row r="65" customFormat="false" ht="15" hidden="false" customHeight="false" outlineLevel="0" collapsed="false">
      <c r="A65" s="25"/>
      <c r="B65" s="30"/>
      <c r="C65" s="21" t="str">
        <f aca="false">IF(B65="","",IFERROR(INDEX(Stages!$B$6:$B$15,B65),"Unknown stage"))</f>
        <v/>
      </c>
      <c r="D65" s="26"/>
      <c r="E65" s="23"/>
      <c r="F65" s="23"/>
      <c r="G65" s="23"/>
      <c r="H65" s="21" t="str">
        <f aca="false">IF(B65="","",IF(B65=1,"OK",IF(IFERROR(INDEX(Stages!$I$6:$I$15,B65-1),"")="Verified","OK","⚠ Previous stage not verified yet")))</f>
        <v/>
      </c>
    </row>
    <row r="66" customFormat="false" ht="15" hidden="false" customHeight="false" outlineLevel="0" collapsed="false">
      <c r="A66" s="25"/>
      <c r="B66" s="30"/>
      <c r="C66" s="21" t="str">
        <f aca="false">IF(B66="","",IFERROR(INDEX(Stages!$B$6:$B$15,B66),"Unknown stage"))</f>
        <v/>
      </c>
      <c r="D66" s="26"/>
      <c r="E66" s="23"/>
      <c r="F66" s="23"/>
      <c r="G66" s="23"/>
      <c r="H66" s="21" t="str">
        <f aca="false">IF(B66="","",IF(B66=1,"OK",IF(IFERROR(INDEX(Stages!$I$6:$I$15,B66-1),"")="Verified","OK","⚠ Previous stage not verified yet")))</f>
        <v/>
      </c>
    </row>
    <row r="67" customFormat="false" ht="15" hidden="false" customHeight="false" outlineLevel="0" collapsed="false">
      <c r="A67" s="25"/>
      <c r="B67" s="30"/>
      <c r="C67" s="21" t="str">
        <f aca="false">IF(B67="","",IFERROR(INDEX(Stages!$B$6:$B$15,B67),"Unknown stage"))</f>
        <v/>
      </c>
      <c r="D67" s="26"/>
      <c r="E67" s="23"/>
      <c r="F67" s="23"/>
      <c r="G67" s="23"/>
      <c r="H67" s="21" t="str">
        <f aca="false">IF(B67="","",IF(B67=1,"OK",IF(IFERROR(INDEX(Stages!$I$6:$I$15,B67-1),"")="Verified","OK","⚠ Previous stage not verified yet")))</f>
        <v/>
      </c>
    </row>
    <row r="68" customFormat="false" ht="15" hidden="false" customHeight="false" outlineLevel="0" collapsed="false">
      <c r="A68" s="25"/>
      <c r="B68" s="30"/>
      <c r="C68" s="21" t="str">
        <f aca="false">IF(B68="","",IFERROR(INDEX(Stages!$B$6:$B$15,B68),"Unknown stage"))</f>
        <v/>
      </c>
      <c r="D68" s="26"/>
      <c r="E68" s="23"/>
      <c r="F68" s="23"/>
      <c r="G68" s="23"/>
      <c r="H68" s="21" t="str">
        <f aca="false">IF(B68="","",IF(B68=1,"OK",IF(IFERROR(INDEX(Stages!$I$6:$I$15,B68-1),"")="Verified","OK","⚠ Previous stage not verified yet")))</f>
        <v/>
      </c>
    </row>
    <row r="69" customFormat="false" ht="15" hidden="false" customHeight="false" outlineLevel="0" collapsed="false">
      <c r="A69" s="25"/>
      <c r="B69" s="30"/>
      <c r="C69" s="21" t="str">
        <f aca="false">IF(B69="","",IFERROR(INDEX(Stages!$B$6:$B$15,B69),"Unknown stage"))</f>
        <v/>
      </c>
      <c r="D69" s="26"/>
      <c r="E69" s="23"/>
      <c r="F69" s="23"/>
      <c r="G69" s="23"/>
      <c r="H69" s="21" t="str">
        <f aca="false">IF(B69="","",IF(B69=1,"OK",IF(IFERROR(INDEX(Stages!$I$6:$I$15,B69-1),"")="Verified","OK","⚠ Previous stage not verified yet")))</f>
        <v/>
      </c>
    </row>
    <row r="70" customFormat="false" ht="15" hidden="false" customHeight="false" outlineLevel="0" collapsed="false">
      <c r="A70" s="25"/>
      <c r="B70" s="30"/>
      <c r="C70" s="21" t="str">
        <f aca="false">IF(B70="","",IFERROR(INDEX(Stages!$B$6:$B$15,B70),"Unknown stage"))</f>
        <v/>
      </c>
      <c r="D70" s="26"/>
      <c r="E70" s="23"/>
      <c r="F70" s="23"/>
      <c r="G70" s="23"/>
      <c r="H70" s="21" t="str">
        <f aca="false">IF(B70="","",IF(B70=1,"OK",IF(IFERROR(INDEX(Stages!$I$6:$I$15,B70-1),"")="Verified","OK","⚠ Previous stage not verified yet")))</f>
        <v/>
      </c>
    </row>
    <row r="71" customFormat="false" ht="15" hidden="false" customHeight="false" outlineLevel="0" collapsed="false">
      <c r="A71" s="25"/>
      <c r="B71" s="30"/>
      <c r="C71" s="21" t="str">
        <f aca="false">IF(B71="","",IFERROR(INDEX(Stages!$B$6:$B$15,B71),"Unknown stage"))</f>
        <v/>
      </c>
      <c r="D71" s="26"/>
      <c r="E71" s="23"/>
      <c r="F71" s="23"/>
      <c r="G71" s="23"/>
      <c r="H71" s="21" t="str">
        <f aca="false">IF(B71="","",IF(B71=1,"OK",IF(IFERROR(INDEX(Stages!$I$6:$I$15,B71-1),"")="Verified","OK","⚠ Previous stage not verified yet")))</f>
        <v/>
      </c>
    </row>
    <row r="72" customFormat="false" ht="15" hidden="false" customHeight="false" outlineLevel="0" collapsed="false">
      <c r="A72" s="25"/>
      <c r="B72" s="30"/>
      <c r="C72" s="21" t="str">
        <f aca="false">IF(B72="","",IFERROR(INDEX(Stages!$B$6:$B$15,B72),"Unknown stage"))</f>
        <v/>
      </c>
      <c r="D72" s="26"/>
      <c r="E72" s="23"/>
      <c r="F72" s="23"/>
      <c r="G72" s="23"/>
      <c r="H72" s="21" t="str">
        <f aca="false">IF(B72="","",IF(B72=1,"OK",IF(IFERROR(INDEX(Stages!$I$6:$I$15,B72-1),"")="Verified","OK","⚠ Previous stage not verified yet")))</f>
        <v/>
      </c>
    </row>
    <row r="73" customFormat="false" ht="15" hidden="false" customHeight="false" outlineLevel="0" collapsed="false">
      <c r="A73" s="25"/>
      <c r="B73" s="30"/>
      <c r="C73" s="21" t="str">
        <f aca="false">IF(B73="","",IFERROR(INDEX(Stages!$B$6:$B$15,B73),"Unknown stage"))</f>
        <v/>
      </c>
      <c r="D73" s="26"/>
      <c r="E73" s="23"/>
      <c r="F73" s="23"/>
      <c r="G73" s="23"/>
      <c r="H73" s="21" t="str">
        <f aca="false">IF(B73="","",IF(B73=1,"OK",IF(IFERROR(INDEX(Stages!$I$6:$I$15,B73-1),"")="Verified","OK","⚠ Previous stage not verified yet")))</f>
        <v/>
      </c>
    </row>
    <row r="74" customFormat="false" ht="15" hidden="false" customHeight="false" outlineLevel="0" collapsed="false">
      <c r="A74" s="25"/>
      <c r="B74" s="30"/>
      <c r="C74" s="21" t="str">
        <f aca="false">IF(B74="","",IFERROR(INDEX(Stages!$B$6:$B$15,B74),"Unknown stage"))</f>
        <v/>
      </c>
      <c r="D74" s="26"/>
      <c r="E74" s="23"/>
      <c r="F74" s="23"/>
      <c r="G74" s="23"/>
      <c r="H74" s="21" t="str">
        <f aca="false">IF(B74="","",IF(B74=1,"OK",IF(IFERROR(INDEX(Stages!$I$6:$I$15,B74-1),"")="Verified","OK","⚠ Previous stage not verified yet")))</f>
        <v/>
      </c>
    </row>
    <row r="75" customFormat="false" ht="15" hidden="false" customHeight="false" outlineLevel="0" collapsed="false">
      <c r="A75" s="25"/>
      <c r="B75" s="30"/>
      <c r="C75" s="21" t="str">
        <f aca="false">IF(B75="","",IFERROR(INDEX(Stages!$B$6:$B$15,B75),"Unknown stage"))</f>
        <v/>
      </c>
      <c r="D75" s="26"/>
      <c r="E75" s="23"/>
      <c r="F75" s="23"/>
      <c r="G75" s="23"/>
      <c r="H75" s="21" t="str">
        <f aca="false">IF(B75="","",IF(B75=1,"OK",IF(IFERROR(INDEX(Stages!$I$6:$I$15,B75-1),"")="Verified","OK","⚠ Previous stage not verified yet")))</f>
        <v/>
      </c>
    </row>
    <row r="76" customFormat="false" ht="15" hidden="false" customHeight="false" outlineLevel="0" collapsed="false">
      <c r="A76" s="25"/>
      <c r="B76" s="30"/>
      <c r="C76" s="21" t="str">
        <f aca="false">IF(B76="","",IFERROR(INDEX(Stages!$B$6:$B$15,B76),"Unknown stage"))</f>
        <v/>
      </c>
      <c r="D76" s="26"/>
      <c r="E76" s="23"/>
      <c r="F76" s="23"/>
      <c r="G76" s="23"/>
      <c r="H76" s="21" t="str">
        <f aca="false">IF(B76="","",IF(B76=1,"OK",IF(IFERROR(INDEX(Stages!$I$6:$I$15,B76-1),"")="Verified","OK","⚠ Previous stage not verified yet")))</f>
        <v/>
      </c>
    </row>
    <row r="77" customFormat="false" ht="15" hidden="false" customHeight="false" outlineLevel="0" collapsed="false">
      <c r="A77" s="25"/>
      <c r="B77" s="30"/>
      <c r="C77" s="21" t="str">
        <f aca="false">IF(B77="","",IFERROR(INDEX(Stages!$B$6:$B$15,B77),"Unknown stage"))</f>
        <v/>
      </c>
      <c r="D77" s="26"/>
      <c r="E77" s="23"/>
      <c r="F77" s="23"/>
      <c r="G77" s="23"/>
      <c r="H77" s="21" t="str">
        <f aca="false">IF(B77="","",IF(B77=1,"OK",IF(IFERROR(INDEX(Stages!$I$6:$I$15,B77-1),"")="Verified","OK","⚠ Previous stage not verified yet")))</f>
        <v/>
      </c>
    </row>
    <row r="78" customFormat="false" ht="15" hidden="false" customHeight="false" outlineLevel="0" collapsed="false">
      <c r="A78" s="25"/>
      <c r="B78" s="30"/>
      <c r="C78" s="21" t="str">
        <f aca="false">IF(B78="","",IFERROR(INDEX(Stages!$B$6:$B$15,B78),"Unknown stage"))</f>
        <v/>
      </c>
      <c r="D78" s="26"/>
      <c r="E78" s="23"/>
      <c r="F78" s="23"/>
      <c r="G78" s="23"/>
      <c r="H78" s="21" t="str">
        <f aca="false">IF(B78="","",IF(B78=1,"OK",IF(IFERROR(INDEX(Stages!$I$6:$I$15,B78-1),"")="Verified","OK","⚠ Previous stage not verified yet")))</f>
        <v/>
      </c>
    </row>
    <row r="79" customFormat="false" ht="15" hidden="false" customHeight="false" outlineLevel="0" collapsed="false">
      <c r="A79" s="25"/>
      <c r="B79" s="30"/>
      <c r="C79" s="21" t="str">
        <f aca="false">IF(B79="","",IFERROR(INDEX(Stages!$B$6:$B$15,B79),"Unknown stage"))</f>
        <v/>
      </c>
      <c r="D79" s="26"/>
      <c r="E79" s="23"/>
      <c r="F79" s="23"/>
      <c r="G79" s="23"/>
      <c r="H79" s="21" t="str">
        <f aca="false">IF(B79="","",IF(B79=1,"OK",IF(IFERROR(INDEX(Stages!$I$6:$I$15,B79-1),"")="Verified","OK","⚠ Previous stage not verified yet")))</f>
        <v/>
      </c>
    </row>
    <row r="80" customFormat="false" ht="15" hidden="false" customHeight="false" outlineLevel="0" collapsed="false">
      <c r="A80" s="25"/>
      <c r="B80" s="30"/>
      <c r="C80" s="21" t="str">
        <f aca="false">IF(B80="","",IFERROR(INDEX(Stages!$B$6:$B$15,B80),"Unknown stage"))</f>
        <v/>
      </c>
      <c r="D80" s="26"/>
      <c r="E80" s="23"/>
      <c r="F80" s="23"/>
      <c r="G80" s="23"/>
      <c r="H80" s="21" t="str">
        <f aca="false">IF(B80="","",IF(B80=1,"OK",IF(IFERROR(INDEX(Stages!$I$6:$I$15,B80-1),"")="Verified","OK","⚠ Previous stage not verified yet")))</f>
        <v/>
      </c>
    </row>
    <row r="81" customFormat="false" ht="15" hidden="false" customHeight="false" outlineLevel="0" collapsed="false">
      <c r="A81" s="25"/>
      <c r="B81" s="30"/>
      <c r="C81" s="21" t="str">
        <f aca="false">IF(B81="","",IFERROR(INDEX(Stages!$B$6:$B$15,B81),"Unknown stage"))</f>
        <v/>
      </c>
      <c r="D81" s="26"/>
      <c r="E81" s="23"/>
      <c r="F81" s="23"/>
      <c r="G81" s="23"/>
      <c r="H81" s="21" t="str">
        <f aca="false">IF(B81="","",IF(B81=1,"OK",IF(IFERROR(INDEX(Stages!$I$6:$I$15,B81-1),"")="Verified","OK","⚠ Previous stage not verified yet")))</f>
        <v/>
      </c>
    </row>
    <row r="82" customFormat="false" ht="15" hidden="false" customHeight="false" outlineLevel="0" collapsed="false">
      <c r="A82" s="25"/>
      <c r="B82" s="30"/>
      <c r="C82" s="21" t="str">
        <f aca="false">IF(B82="","",IFERROR(INDEX(Stages!$B$6:$B$15,B82),"Unknown stage"))</f>
        <v/>
      </c>
      <c r="D82" s="26"/>
      <c r="E82" s="23"/>
      <c r="F82" s="23"/>
      <c r="G82" s="23"/>
      <c r="H82" s="21" t="str">
        <f aca="false">IF(B82="","",IF(B82=1,"OK",IF(IFERROR(INDEX(Stages!$I$6:$I$15,B82-1),"")="Verified","OK","⚠ Previous stage not verified yet")))</f>
        <v/>
      </c>
    </row>
    <row r="83" customFormat="false" ht="15" hidden="false" customHeight="false" outlineLevel="0" collapsed="false">
      <c r="A83" s="25"/>
      <c r="B83" s="30"/>
      <c r="C83" s="21" t="str">
        <f aca="false">IF(B83="","",IFERROR(INDEX(Stages!$B$6:$B$15,B83),"Unknown stage"))</f>
        <v/>
      </c>
      <c r="D83" s="26"/>
      <c r="E83" s="23"/>
      <c r="F83" s="23"/>
      <c r="G83" s="23"/>
      <c r="H83" s="21" t="str">
        <f aca="false">IF(B83="","",IF(B83=1,"OK",IF(IFERROR(INDEX(Stages!$I$6:$I$15,B83-1),"")="Verified","OK","⚠ Previous stage not verified yet")))</f>
        <v/>
      </c>
    </row>
    <row r="84" customFormat="false" ht="15" hidden="false" customHeight="false" outlineLevel="0" collapsed="false">
      <c r="A84" s="25"/>
      <c r="B84" s="30"/>
      <c r="C84" s="21" t="str">
        <f aca="false">IF(B84="","",IFERROR(INDEX(Stages!$B$6:$B$15,B84),"Unknown stage"))</f>
        <v/>
      </c>
      <c r="D84" s="26"/>
      <c r="E84" s="23"/>
      <c r="F84" s="23"/>
      <c r="G84" s="23"/>
      <c r="H84" s="21" t="str">
        <f aca="false">IF(B84="","",IF(B84=1,"OK",IF(IFERROR(INDEX(Stages!$I$6:$I$15,B84-1),"")="Verified","OK","⚠ Previous stage not verified yet")))</f>
        <v/>
      </c>
    </row>
    <row r="85" customFormat="false" ht="15" hidden="false" customHeight="false" outlineLevel="0" collapsed="false">
      <c r="A85" s="25"/>
      <c r="B85" s="30"/>
      <c r="C85" s="21" t="str">
        <f aca="false">IF(B85="","",IFERROR(INDEX(Stages!$B$6:$B$15,B85),"Unknown stage"))</f>
        <v/>
      </c>
      <c r="D85" s="26"/>
      <c r="E85" s="23"/>
      <c r="F85" s="23"/>
      <c r="G85" s="23"/>
      <c r="H85" s="21" t="str">
        <f aca="false">IF(B85="","",IF(B85=1,"OK",IF(IFERROR(INDEX(Stages!$I$6:$I$15,B85-1),"")="Verified","OK","⚠ Previous stage not verified yet")))</f>
        <v/>
      </c>
    </row>
    <row r="86" customFormat="false" ht="15" hidden="false" customHeight="false" outlineLevel="0" collapsed="false">
      <c r="A86" s="25"/>
      <c r="B86" s="30"/>
      <c r="C86" s="21" t="str">
        <f aca="false">IF(B86="","",IFERROR(INDEX(Stages!$B$6:$B$15,B86),"Unknown stage"))</f>
        <v/>
      </c>
      <c r="D86" s="26"/>
      <c r="E86" s="23"/>
      <c r="F86" s="23"/>
      <c r="G86" s="23"/>
      <c r="H86" s="21" t="str">
        <f aca="false">IF(B86="","",IF(B86=1,"OK",IF(IFERROR(INDEX(Stages!$I$6:$I$15,B86-1),"")="Verified","OK","⚠ Previous stage not verified yet")))</f>
        <v/>
      </c>
    </row>
    <row r="87" customFormat="false" ht="15" hidden="false" customHeight="false" outlineLevel="0" collapsed="false">
      <c r="A87" s="25"/>
      <c r="B87" s="30"/>
      <c r="C87" s="21" t="str">
        <f aca="false">IF(B87="","",IFERROR(INDEX(Stages!$B$6:$B$15,B87),"Unknown stage"))</f>
        <v/>
      </c>
      <c r="D87" s="26"/>
      <c r="E87" s="23"/>
      <c r="F87" s="23"/>
      <c r="G87" s="23"/>
      <c r="H87" s="21" t="str">
        <f aca="false">IF(B87="","",IF(B87=1,"OK",IF(IFERROR(INDEX(Stages!$I$6:$I$15,B87-1),"")="Verified","OK","⚠ Previous stage not verified yet")))</f>
        <v/>
      </c>
    </row>
    <row r="88" customFormat="false" ht="15" hidden="false" customHeight="false" outlineLevel="0" collapsed="false">
      <c r="A88" s="25"/>
      <c r="B88" s="30"/>
      <c r="C88" s="21" t="str">
        <f aca="false">IF(B88="","",IFERROR(INDEX(Stages!$B$6:$B$15,B88),"Unknown stage"))</f>
        <v/>
      </c>
      <c r="D88" s="26"/>
      <c r="E88" s="23"/>
      <c r="F88" s="23"/>
      <c r="G88" s="23"/>
      <c r="H88" s="21" t="str">
        <f aca="false">IF(B88="","",IF(B88=1,"OK",IF(IFERROR(INDEX(Stages!$I$6:$I$15,B88-1),"")="Verified","OK","⚠ Previous stage not verified yet")))</f>
        <v/>
      </c>
    </row>
    <row r="89" customFormat="false" ht="15" hidden="false" customHeight="false" outlineLevel="0" collapsed="false">
      <c r="A89" s="25"/>
      <c r="B89" s="30"/>
      <c r="C89" s="21" t="str">
        <f aca="false">IF(B89="","",IFERROR(INDEX(Stages!$B$6:$B$15,B89),"Unknown stage"))</f>
        <v/>
      </c>
      <c r="D89" s="26"/>
      <c r="E89" s="23"/>
      <c r="F89" s="23"/>
      <c r="G89" s="23"/>
      <c r="H89" s="21" t="str">
        <f aca="false">IF(B89="","",IF(B89=1,"OK",IF(IFERROR(INDEX(Stages!$I$6:$I$15,B89-1),"")="Verified","OK","⚠ Previous stage not verified yet")))</f>
        <v/>
      </c>
    </row>
    <row r="90" customFormat="false" ht="15" hidden="false" customHeight="false" outlineLevel="0" collapsed="false">
      <c r="A90" s="25"/>
      <c r="B90" s="30"/>
      <c r="C90" s="21" t="str">
        <f aca="false">IF(B90="","",IFERROR(INDEX(Stages!$B$6:$B$15,B90),"Unknown stage"))</f>
        <v/>
      </c>
      <c r="D90" s="26"/>
      <c r="E90" s="23"/>
      <c r="F90" s="23"/>
      <c r="G90" s="23"/>
      <c r="H90" s="21" t="str">
        <f aca="false">IF(B90="","",IF(B90=1,"OK",IF(IFERROR(INDEX(Stages!$I$6:$I$15,B90-1),"")="Verified","OK","⚠ Previous stage not verified yet")))</f>
        <v/>
      </c>
    </row>
    <row r="91" customFormat="false" ht="15" hidden="false" customHeight="false" outlineLevel="0" collapsed="false">
      <c r="A91" s="25"/>
      <c r="B91" s="30"/>
      <c r="C91" s="21" t="str">
        <f aca="false">IF(B91="","",IFERROR(INDEX(Stages!$B$6:$B$15,B91),"Unknown stage"))</f>
        <v/>
      </c>
      <c r="D91" s="26"/>
      <c r="E91" s="23"/>
      <c r="F91" s="23"/>
      <c r="G91" s="23"/>
      <c r="H91" s="21" t="str">
        <f aca="false">IF(B91="","",IF(B91=1,"OK",IF(IFERROR(INDEX(Stages!$I$6:$I$15,B91-1),"")="Verified","OK","⚠ Previous stage not verified yet")))</f>
        <v/>
      </c>
    </row>
    <row r="92" customFormat="false" ht="15" hidden="false" customHeight="false" outlineLevel="0" collapsed="false">
      <c r="A92" s="25"/>
      <c r="B92" s="30"/>
      <c r="C92" s="21" t="str">
        <f aca="false">IF(B92="","",IFERROR(INDEX(Stages!$B$6:$B$15,B92),"Unknown stage"))</f>
        <v/>
      </c>
      <c r="D92" s="26"/>
      <c r="E92" s="23"/>
      <c r="F92" s="23"/>
      <c r="G92" s="23"/>
      <c r="H92" s="21" t="str">
        <f aca="false">IF(B92="","",IF(B92=1,"OK",IF(IFERROR(INDEX(Stages!$I$6:$I$15,B92-1),"")="Verified","OK","⚠ Previous stage not verified yet")))</f>
        <v/>
      </c>
    </row>
    <row r="93" customFormat="false" ht="15" hidden="false" customHeight="false" outlineLevel="0" collapsed="false">
      <c r="A93" s="25"/>
      <c r="B93" s="30"/>
      <c r="C93" s="21" t="str">
        <f aca="false">IF(B93="","",IFERROR(INDEX(Stages!$B$6:$B$15,B93),"Unknown stage"))</f>
        <v/>
      </c>
      <c r="D93" s="26"/>
      <c r="E93" s="23"/>
      <c r="F93" s="23"/>
      <c r="G93" s="23"/>
      <c r="H93" s="21" t="str">
        <f aca="false">IF(B93="","",IF(B93=1,"OK",IF(IFERROR(INDEX(Stages!$I$6:$I$15,B93-1),"")="Verified","OK","⚠ Previous stage not verified yet")))</f>
        <v/>
      </c>
    </row>
    <row r="94" customFormat="false" ht="15" hidden="false" customHeight="false" outlineLevel="0" collapsed="false">
      <c r="A94" s="25"/>
      <c r="B94" s="30"/>
      <c r="C94" s="21" t="str">
        <f aca="false">IF(B94="","",IFERROR(INDEX(Stages!$B$6:$B$15,B94),"Unknown stage"))</f>
        <v/>
      </c>
      <c r="D94" s="26"/>
      <c r="E94" s="23"/>
      <c r="F94" s="23"/>
      <c r="G94" s="23"/>
      <c r="H94" s="21" t="str">
        <f aca="false">IF(B94="","",IF(B94=1,"OK",IF(IFERROR(INDEX(Stages!$I$6:$I$15,B94-1),"")="Verified","OK","⚠ Previous stage not verified yet")))</f>
        <v/>
      </c>
    </row>
    <row r="95" customFormat="false" ht="15" hidden="false" customHeight="false" outlineLevel="0" collapsed="false">
      <c r="A95" s="25"/>
      <c r="B95" s="30"/>
      <c r="C95" s="21" t="str">
        <f aca="false">IF(B95="","",IFERROR(INDEX(Stages!$B$6:$B$15,B95),"Unknown stage"))</f>
        <v/>
      </c>
      <c r="D95" s="26"/>
      <c r="E95" s="23"/>
      <c r="F95" s="23"/>
      <c r="G95" s="23"/>
      <c r="H95" s="21" t="str">
        <f aca="false">IF(B95="","",IF(B95=1,"OK",IF(IFERROR(INDEX(Stages!$I$6:$I$15,B95-1),"")="Verified","OK","⚠ Previous stage not verified yet")))</f>
        <v/>
      </c>
    </row>
    <row r="96" customFormat="false" ht="15" hidden="false" customHeight="false" outlineLevel="0" collapsed="false">
      <c r="A96" s="25"/>
      <c r="B96" s="30"/>
      <c r="C96" s="21" t="str">
        <f aca="false">IF(B96="","",IFERROR(INDEX(Stages!$B$6:$B$15,B96),"Unknown stage"))</f>
        <v/>
      </c>
      <c r="D96" s="26"/>
      <c r="E96" s="23"/>
      <c r="F96" s="23"/>
      <c r="G96" s="23"/>
      <c r="H96" s="21" t="str">
        <f aca="false">IF(B96="","",IF(B96=1,"OK",IF(IFERROR(INDEX(Stages!$I$6:$I$15,B96-1),"")="Verified","OK","⚠ Previous stage not verified yet")))</f>
        <v/>
      </c>
    </row>
    <row r="97" customFormat="false" ht="15" hidden="false" customHeight="false" outlineLevel="0" collapsed="false">
      <c r="A97" s="25"/>
      <c r="B97" s="30"/>
      <c r="C97" s="21" t="str">
        <f aca="false">IF(B97="","",IFERROR(INDEX(Stages!$B$6:$B$15,B97),"Unknown stage"))</f>
        <v/>
      </c>
      <c r="D97" s="26"/>
      <c r="E97" s="23"/>
      <c r="F97" s="23"/>
      <c r="G97" s="23"/>
      <c r="H97" s="21" t="str">
        <f aca="false">IF(B97="","",IF(B97=1,"OK",IF(IFERROR(INDEX(Stages!$I$6:$I$15,B97-1),"")="Verified","OK","⚠ Previous stage not verified yet")))</f>
        <v/>
      </c>
    </row>
    <row r="98" customFormat="false" ht="15" hidden="false" customHeight="false" outlineLevel="0" collapsed="false">
      <c r="A98" s="25"/>
      <c r="B98" s="30"/>
      <c r="C98" s="21" t="str">
        <f aca="false">IF(B98="","",IFERROR(INDEX(Stages!$B$6:$B$15,B98),"Unknown stage"))</f>
        <v/>
      </c>
      <c r="D98" s="26"/>
      <c r="E98" s="23"/>
      <c r="F98" s="23"/>
      <c r="G98" s="23"/>
      <c r="H98" s="21" t="str">
        <f aca="false">IF(B98="","",IF(B98=1,"OK",IF(IFERROR(INDEX(Stages!$I$6:$I$15,B98-1),"")="Verified","OK","⚠ Previous stage not verified yet")))</f>
        <v/>
      </c>
    </row>
    <row r="99" customFormat="false" ht="15" hidden="false" customHeight="false" outlineLevel="0" collapsed="false">
      <c r="A99" s="25"/>
      <c r="B99" s="30"/>
      <c r="C99" s="21" t="str">
        <f aca="false">IF(B99="","",IFERROR(INDEX(Stages!$B$6:$B$15,B99),"Unknown stage"))</f>
        <v/>
      </c>
      <c r="D99" s="26"/>
      <c r="E99" s="23"/>
      <c r="F99" s="23"/>
      <c r="G99" s="23"/>
      <c r="H99" s="21" t="str">
        <f aca="false">IF(B99="","",IF(B99=1,"OK",IF(IFERROR(INDEX(Stages!$I$6:$I$15,B99-1),"")="Verified","OK","⚠ Previous stage not verified yet")))</f>
        <v/>
      </c>
    </row>
    <row r="100" customFormat="false" ht="15" hidden="false" customHeight="false" outlineLevel="0" collapsed="false">
      <c r="A100" s="25"/>
      <c r="B100" s="30"/>
      <c r="C100" s="21" t="str">
        <f aca="false">IF(B100="","",IFERROR(INDEX(Stages!$B$6:$B$15,B100),"Unknown stage"))</f>
        <v/>
      </c>
      <c r="D100" s="26"/>
      <c r="E100" s="23"/>
      <c r="F100" s="23"/>
      <c r="G100" s="23"/>
      <c r="H100" s="21" t="str">
        <f aca="false">IF(B100="","",IF(B100=1,"OK",IF(IFERROR(INDEX(Stages!$I$6:$I$15,B100-1),"")="Verified","OK","⚠ Previous stage not verified yet")))</f>
        <v/>
      </c>
    </row>
    <row r="101" customFormat="false" ht="15" hidden="false" customHeight="false" outlineLevel="0" collapsed="false">
      <c r="A101" s="25"/>
      <c r="B101" s="30"/>
      <c r="C101" s="21" t="str">
        <f aca="false">IF(B101="","",IFERROR(INDEX(Stages!$B$6:$B$15,B101),"Unknown stage"))</f>
        <v/>
      </c>
      <c r="D101" s="26"/>
      <c r="E101" s="23"/>
      <c r="F101" s="23"/>
      <c r="G101" s="23"/>
      <c r="H101" s="21" t="str">
        <f aca="false">IF(B101="","",IF(B101=1,"OK",IF(IFERROR(INDEX(Stages!$I$6:$I$15,B101-1),"")="Verified","OK","⚠ Previous stage not verified yet")))</f>
        <v/>
      </c>
    </row>
    <row r="102" customFormat="false" ht="15" hidden="false" customHeight="false" outlineLevel="0" collapsed="false">
      <c r="A102" s="25"/>
      <c r="B102" s="30"/>
      <c r="C102" s="21" t="str">
        <f aca="false">IF(B102="","",IFERROR(INDEX(Stages!$B$6:$B$15,B102),"Unknown stage"))</f>
        <v/>
      </c>
      <c r="D102" s="26"/>
      <c r="E102" s="23"/>
      <c r="F102" s="23"/>
      <c r="G102" s="23"/>
      <c r="H102" s="21" t="str">
        <f aca="false">IF(B102="","",IF(B102=1,"OK",IF(IFERROR(INDEX(Stages!$I$6:$I$15,B102-1),"")="Verified","OK","⚠ Previous stage not verified yet")))</f>
        <v/>
      </c>
    </row>
    <row r="103" customFormat="false" ht="15" hidden="false" customHeight="false" outlineLevel="0" collapsed="false">
      <c r="A103" s="25"/>
      <c r="B103" s="30"/>
      <c r="C103" s="21" t="str">
        <f aca="false">IF(B103="","",IFERROR(INDEX(Stages!$B$6:$B$15,B103),"Unknown stage"))</f>
        <v/>
      </c>
      <c r="D103" s="26"/>
      <c r="E103" s="23"/>
      <c r="F103" s="23"/>
      <c r="G103" s="23"/>
      <c r="H103" s="21" t="str">
        <f aca="false">IF(B103="","",IF(B103=1,"OK",IF(IFERROR(INDEX(Stages!$I$6:$I$15,B103-1),"")="Verified","OK","⚠ Previous stage not verified yet")))</f>
        <v/>
      </c>
    </row>
    <row r="104" customFormat="false" ht="15" hidden="false" customHeight="false" outlineLevel="0" collapsed="false">
      <c r="A104" s="25"/>
      <c r="B104" s="30"/>
      <c r="C104" s="21" t="str">
        <f aca="false">IF(B104="","",IFERROR(INDEX(Stages!$B$6:$B$15,B104),"Unknown stage"))</f>
        <v/>
      </c>
      <c r="D104" s="26"/>
      <c r="E104" s="23"/>
      <c r="F104" s="23"/>
      <c r="G104" s="23"/>
      <c r="H104" s="21" t="str">
        <f aca="false">IF(B104="","",IF(B104=1,"OK",IF(IFERROR(INDEX(Stages!$I$6:$I$15,B104-1),"")="Verified","OK","⚠ Previous stage not verified yet")))</f>
        <v/>
      </c>
    </row>
    <row r="105" customFormat="false" ht="15" hidden="false" customHeight="false" outlineLevel="0" collapsed="false">
      <c r="A105" s="25"/>
      <c r="B105" s="30"/>
      <c r="C105" s="21" t="str">
        <f aca="false">IF(B105="","",IFERROR(INDEX(Stages!$B$6:$B$15,B105),"Unknown stage"))</f>
        <v/>
      </c>
      <c r="D105" s="26"/>
      <c r="E105" s="23"/>
      <c r="F105" s="23"/>
      <c r="G105" s="23"/>
      <c r="H105" s="21" t="str">
        <f aca="false">IF(B105="","",IF(B105=1,"OK",IF(IFERROR(INDEX(Stages!$I$6:$I$15,B105-1),"")="Verified","OK","⚠ Previous stage not verified yet")))</f>
        <v/>
      </c>
    </row>
    <row r="106" customFormat="false" ht="15" hidden="false" customHeight="false" outlineLevel="0" collapsed="false">
      <c r="A106" s="25"/>
      <c r="B106" s="30"/>
      <c r="C106" s="21" t="str">
        <f aca="false">IF(B106="","",IFERROR(INDEX(Stages!$B$6:$B$15,B106),"Unknown stage"))</f>
        <v/>
      </c>
      <c r="D106" s="26"/>
      <c r="E106" s="23"/>
      <c r="F106" s="23"/>
      <c r="G106" s="23"/>
      <c r="H106" s="21" t="str">
        <f aca="false">IF(B106="","",IF(B106=1,"OK",IF(IFERROR(INDEX(Stages!$I$6:$I$15,B106-1),"")="Verified","OK","⚠ Previous stage not verified yet")))</f>
        <v/>
      </c>
    </row>
    <row r="107" customFormat="false" ht="15" hidden="false" customHeight="false" outlineLevel="0" collapsed="false">
      <c r="A107" s="25"/>
      <c r="B107" s="30"/>
      <c r="C107" s="21" t="str">
        <f aca="false">IF(B107="","",IFERROR(INDEX(Stages!$B$6:$B$15,B107),"Unknown stage"))</f>
        <v/>
      </c>
      <c r="D107" s="26"/>
      <c r="E107" s="23"/>
      <c r="F107" s="23"/>
      <c r="G107" s="23"/>
      <c r="H107" s="21" t="str">
        <f aca="false">IF(B107="","",IF(B107=1,"OK",IF(IFERROR(INDEX(Stages!$I$6:$I$15,B107-1),"")="Verified","OK","⚠ Previous stage not verified yet")))</f>
        <v/>
      </c>
    </row>
    <row r="108" customFormat="false" ht="15" hidden="false" customHeight="false" outlineLevel="0" collapsed="false">
      <c r="A108" s="25"/>
      <c r="B108" s="30"/>
      <c r="C108" s="21" t="str">
        <f aca="false">IF(B108="","",IFERROR(INDEX(Stages!$B$6:$B$15,B108),"Unknown stage"))</f>
        <v/>
      </c>
      <c r="D108" s="26"/>
      <c r="E108" s="23"/>
      <c r="F108" s="23"/>
      <c r="G108" s="23"/>
      <c r="H108" s="21" t="str">
        <f aca="false">IF(B108="","",IF(B108=1,"OK",IF(IFERROR(INDEX(Stages!$I$6:$I$15,B108-1),"")="Verified","OK","⚠ Previous stage not verified yet")))</f>
        <v/>
      </c>
    </row>
    <row r="109" customFormat="false" ht="15" hidden="false" customHeight="false" outlineLevel="0" collapsed="false">
      <c r="A109" s="25"/>
      <c r="B109" s="30"/>
      <c r="C109" s="21" t="str">
        <f aca="false">IF(B109="","",IFERROR(INDEX(Stages!$B$6:$B$15,B109),"Unknown stage"))</f>
        <v/>
      </c>
      <c r="D109" s="26"/>
      <c r="E109" s="23"/>
      <c r="F109" s="23"/>
      <c r="G109" s="23"/>
      <c r="H109" s="21" t="str">
        <f aca="false">IF(B109="","",IF(B109=1,"OK",IF(IFERROR(INDEX(Stages!$I$6:$I$15,B109-1),"")="Verified","OK","⚠ Previous stage not verified yet")))</f>
        <v/>
      </c>
    </row>
    <row r="110" customFormat="false" ht="15" hidden="false" customHeight="false" outlineLevel="0" collapsed="false">
      <c r="A110" s="25"/>
      <c r="B110" s="30"/>
      <c r="C110" s="21" t="str">
        <f aca="false">IF(B110="","",IFERROR(INDEX(Stages!$B$6:$B$15,B110),"Unknown stage"))</f>
        <v/>
      </c>
      <c r="D110" s="26"/>
      <c r="E110" s="23"/>
      <c r="F110" s="23"/>
      <c r="G110" s="23"/>
      <c r="H110" s="21" t="str">
        <f aca="false">IF(B110="","",IF(B110=1,"OK",IF(IFERROR(INDEX(Stages!$I$6:$I$15,B110-1),"")="Verified","OK","⚠ Previous stage not verified yet")))</f>
        <v/>
      </c>
    </row>
    <row r="111" customFormat="false" ht="15" hidden="false" customHeight="false" outlineLevel="0" collapsed="false">
      <c r="A111" s="25"/>
      <c r="B111" s="30"/>
      <c r="C111" s="21" t="str">
        <f aca="false">IF(B111="","",IFERROR(INDEX(Stages!$B$6:$B$15,B111),"Unknown stage"))</f>
        <v/>
      </c>
      <c r="D111" s="26"/>
      <c r="E111" s="23"/>
      <c r="F111" s="23"/>
      <c r="G111" s="23"/>
      <c r="H111" s="21" t="str">
        <f aca="false">IF(B111="","",IF(B111=1,"OK",IF(IFERROR(INDEX(Stages!$I$6:$I$15,B111-1),"")="Verified","OK","⚠ Previous stage not verified yet")))</f>
        <v/>
      </c>
    </row>
    <row r="112" customFormat="false" ht="15" hidden="false" customHeight="false" outlineLevel="0" collapsed="false">
      <c r="A112" s="25"/>
      <c r="B112" s="30"/>
      <c r="C112" s="21" t="str">
        <f aca="false">IF(B112="","",IFERROR(INDEX(Stages!$B$6:$B$15,B112),"Unknown stage"))</f>
        <v/>
      </c>
      <c r="D112" s="26"/>
      <c r="E112" s="23"/>
      <c r="F112" s="23"/>
      <c r="G112" s="23"/>
      <c r="H112" s="21" t="str">
        <f aca="false">IF(B112="","",IF(B112=1,"OK",IF(IFERROR(INDEX(Stages!$I$6:$I$15,B112-1),"")="Verified","OK","⚠ Previous stage not verified yet")))</f>
        <v/>
      </c>
    </row>
    <row r="113" customFormat="false" ht="15" hidden="false" customHeight="false" outlineLevel="0" collapsed="false">
      <c r="A113" s="25"/>
      <c r="B113" s="30"/>
      <c r="C113" s="21" t="str">
        <f aca="false">IF(B113="","",IFERROR(INDEX(Stages!$B$6:$B$15,B113),"Unknown stage"))</f>
        <v/>
      </c>
      <c r="D113" s="26"/>
      <c r="E113" s="23"/>
      <c r="F113" s="23"/>
      <c r="G113" s="23"/>
      <c r="H113" s="21" t="str">
        <f aca="false">IF(B113="","",IF(B113=1,"OK",IF(IFERROR(INDEX(Stages!$I$6:$I$15,B113-1),"")="Verified","OK","⚠ Previous stage not verified yet")))</f>
        <v/>
      </c>
    </row>
    <row r="114" customFormat="false" ht="15" hidden="false" customHeight="false" outlineLevel="0" collapsed="false">
      <c r="A114" s="25"/>
      <c r="B114" s="30"/>
      <c r="C114" s="21" t="str">
        <f aca="false">IF(B114="","",IFERROR(INDEX(Stages!$B$6:$B$15,B114),"Unknown stage"))</f>
        <v/>
      </c>
      <c r="D114" s="26"/>
      <c r="E114" s="23"/>
      <c r="F114" s="23"/>
      <c r="G114" s="23"/>
      <c r="H114" s="21" t="str">
        <f aca="false">IF(B114="","",IF(B114=1,"OK",IF(IFERROR(INDEX(Stages!$I$6:$I$15,B114-1),"")="Verified","OK","⚠ Previous stage not verified yet")))</f>
        <v/>
      </c>
    </row>
    <row r="115" customFormat="false" ht="15" hidden="false" customHeight="false" outlineLevel="0" collapsed="false">
      <c r="A115" s="25"/>
      <c r="B115" s="30"/>
      <c r="C115" s="21" t="str">
        <f aca="false">IF(B115="","",IFERROR(INDEX(Stages!$B$6:$B$15,B115),"Unknown stage"))</f>
        <v/>
      </c>
      <c r="D115" s="26"/>
      <c r="E115" s="23"/>
      <c r="F115" s="23"/>
      <c r="G115" s="23"/>
      <c r="H115" s="21" t="str">
        <f aca="false">IF(B115="","",IF(B115=1,"OK",IF(IFERROR(INDEX(Stages!$I$6:$I$15,B115-1),"")="Verified","OK","⚠ Previous stage not verified yet")))</f>
        <v/>
      </c>
    </row>
    <row r="116" customFormat="false" ht="15" hidden="false" customHeight="false" outlineLevel="0" collapsed="false">
      <c r="A116" s="25"/>
      <c r="B116" s="30"/>
      <c r="C116" s="21" t="str">
        <f aca="false">IF(B116="","",IFERROR(INDEX(Stages!$B$6:$B$15,B116),"Unknown stage"))</f>
        <v/>
      </c>
      <c r="D116" s="26"/>
      <c r="E116" s="23"/>
      <c r="F116" s="23"/>
      <c r="G116" s="23"/>
      <c r="H116" s="21" t="str">
        <f aca="false">IF(B116="","",IF(B116=1,"OK",IF(IFERROR(INDEX(Stages!$I$6:$I$15,B116-1),"")="Verified","OK","⚠ Previous stage not verified yet")))</f>
        <v/>
      </c>
    </row>
    <row r="117" customFormat="false" ht="15" hidden="false" customHeight="false" outlineLevel="0" collapsed="false">
      <c r="A117" s="25"/>
      <c r="B117" s="30"/>
      <c r="C117" s="21" t="str">
        <f aca="false">IF(B117="","",IFERROR(INDEX(Stages!$B$6:$B$15,B117),"Unknown stage"))</f>
        <v/>
      </c>
      <c r="D117" s="26"/>
      <c r="E117" s="23"/>
      <c r="F117" s="23"/>
      <c r="G117" s="23"/>
      <c r="H117" s="21" t="str">
        <f aca="false">IF(B117="","",IF(B117=1,"OK",IF(IFERROR(INDEX(Stages!$I$6:$I$15,B117-1),"")="Verified","OK","⚠ Previous stage not verified yet")))</f>
        <v/>
      </c>
    </row>
    <row r="118" customFormat="false" ht="15" hidden="false" customHeight="false" outlineLevel="0" collapsed="false">
      <c r="A118" s="25"/>
      <c r="B118" s="30"/>
      <c r="C118" s="21" t="str">
        <f aca="false">IF(B118="","",IFERROR(INDEX(Stages!$B$6:$B$15,B118),"Unknown stage"))</f>
        <v/>
      </c>
      <c r="D118" s="26"/>
      <c r="E118" s="23"/>
      <c r="F118" s="23"/>
      <c r="G118" s="23"/>
      <c r="H118" s="21" t="str">
        <f aca="false">IF(B118="","",IF(B118=1,"OK",IF(IFERROR(INDEX(Stages!$I$6:$I$15,B118-1),"")="Verified","OK","⚠ Previous stage not verified yet")))</f>
        <v/>
      </c>
    </row>
    <row r="119" customFormat="false" ht="15" hidden="false" customHeight="false" outlineLevel="0" collapsed="false">
      <c r="A119" s="25"/>
      <c r="B119" s="30"/>
      <c r="C119" s="21" t="str">
        <f aca="false">IF(B119="","",IFERROR(INDEX(Stages!$B$6:$B$15,B119),"Unknown stage"))</f>
        <v/>
      </c>
      <c r="D119" s="26"/>
      <c r="E119" s="23"/>
      <c r="F119" s="23"/>
      <c r="G119" s="23"/>
      <c r="H119" s="21" t="str">
        <f aca="false">IF(B119="","",IF(B119=1,"OK",IF(IFERROR(INDEX(Stages!$I$6:$I$15,B119-1),"")="Verified","OK","⚠ Previous stage not verified yet")))</f>
        <v/>
      </c>
    </row>
    <row r="120" customFormat="false" ht="15" hidden="false" customHeight="false" outlineLevel="0" collapsed="false">
      <c r="A120" s="25"/>
      <c r="B120" s="30"/>
      <c r="C120" s="21" t="str">
        <f aca="false">IF(B120="","",IFERROR(INDEX(Stages!$B$6:$B$15,B120),"Unknown stage"))</f>
        <v/>
      </c>
      <c r="D120" s="26"/>
      <c r="E120" s="23"/>
      <c r="F120" s="23"/>
      <c r="G120" s="23"/>
      <c r="H120" s="21" t="str">
        <f aca="false">IF(B120="","",IF(B120=1,"OK",IF(IFERROR(INDEX(Stages!$I$6:$I$15,B120-1),"")="Verified","OK","⚠ Previous stage not verified yet")))</f>
        <v/>
      </c>
    </row>
    <row r="121" customFormat="false" ht="15" hidden="false" customHeight="false" outlineLevel="0" collapsed="false">
      <c r="A121" s="25"/>
      <c r="B121" s="30"/>
      <c r="C121" s="21" t="str">
        <f aca="false">IF(B121="","",IFERROR(INDEX(Stages!$B$6:$B$15,B121),"Unknown stage"))</f>
        <v/>
      </c>
      <c r="D121" s="26"/>
      <c r="E121" s="23"/>
      <c r="F121" s="23"/>
      <c r="G121" s="23"/>
      <c r="H121" s="21" t="str">
        <f aca="false">IF(B121="","",IF(B121=1,"OK",IF(IFERROR(INDEX(Stages!$I$6:$I$15,B121-1),"")="Verified","OK","⚠ Previous stage not verified yet")))</f>
        <v/>
      </c>
    </row>
    <row r="122" customFormat="false" ht="15" hidden="false" customHeight="false" outlineLevel="0" collapsed="false">
      <c r="A122" s="25"/>
      <c r="B122" s="30"/>
      <c r="C122" s="21" t="str">
        <f aca="false">IF(B122="","",IFERROR(INDEX(Stages!$B$6:$B$15,B122),"Unknown stage"))</f>
        <v/>
      </c>
      <c r="D122" s="26"/>
      <c r="E122" s="23"/>
      <c r="F122" s="23"/>
      <c r="G122" s="23"/>
      <c r="H122" s="21" t="str">
        <f aca="false">IF(B122="","",IF(B122=1,"OK",IF(IFERROR(INDEX(Stages!$I$6:$I$15,B122-1),"")="Verified","OK","⚠ Previous stage not verified yet")))</f>
        <v/>
      </c>
    </row>
    <row r="123" customFormat="false" ht="15" hidden="false" customHeight="false" outlineLevel="0" collapsed="false">
      <c r="A123" s="25"/>
      <c r="B123" s="30"/>
      <c r="C123" s="21" t="str">
        <f aca="false">IF(B123="","",IFERROR(INDEX(Stages!$B$6:$B$15,B123),"Unknown stage"))</f>
        <v/>
      </c>
      <c r="D123" s="26"/>
      <c r="E123" s="23"/>
      <c r="F123" s="23"/>
      <c r="G123" s="23"/>
      <c r="H123" s="21" t="str">
        <f aca="false">IF(B123="","",IF(B123=1,"OK",IF(IFERROR(INDEX(Stages!$I$6:$I$15,B123-1),"")="Verified","OK","⚠ Previous stage not verified yet")))</f>
        <v/>
      </c>
    </row>
    <row r="124" customFormat="false" ht="15" hidden="false" customHeight="false" outlineLevel="0" collapsed="false">
      <c r="A124" s="25"/>
      <c r="B124" s="30"/>
      <c r="C124" s="21" t="str">
        <f aca="false">IF(B124="","",IFERROR(INDEX(Stages!$B$6:$B$15,B124),"Unknown stage"))</f>
        <v/>
      </c>
      <c r="D124" s="26"/>
      <c r="E124" s="23"/>
      <c r="F124" s="23"/>
      <c r="G124" s="23"/>
      <c r="H124" s="21" t="str">
        <f aca="false">IF(B124="","",IF(B124=1,"OK",IF(IFERROR(INDEX(Stages!$I$6:$I$15,B124-1),"")="Verified","OK","⚠ Previous stage not verified yet")))</f>
        <v/>
      </c>
    </row>
    <row r="125" customFormat="false" ht="15" hidden="false" customHeight="false" outlineLevel="0" collapsed="false">
      <c r="A125" s="25"/>
      <c r="B125" s="30"/>
      <c r="C125" s="21" t="str">
        <f aca="false">IF(B125="","",IFERROR(INDEX(Stages!$B$6:$B$15,B125),"Unknown stage"))</f>
        <v/>
      </c>
      <c r="D125" s="26"/>
      <c r="E125" s="23"/>
      <c r="F125" s="23"/>
      <c r="G125" s="23"/>
      <c r="H125" s="21" t="str">
        <f aca="false">IF(B125="","",IF(B125=1,"OK",IF(IFERROR(INDEX(Stages!$I$6:$I$15,B125-1),"")="Verified","OK","⚠ Previous stage not verified yet")))</f>
        <v/>
      </c>
    </row>
    <row r="126" customFormat="false" ht="15" hidden="false" customHeight="false" outlineLevel="0" collapsed="false">
      <c r="A126" s="25"/>
      <c r="B126" s="30"/>
      <c r="C126" s="21" t="str">
        <f aca="false">IF(B126="","",IFERROR(INDEX(Stages!$B$6:$B$15,B126),"Unknown stage"))</f>
        <v/>
      </c>
      <c r="D126" s="26"/>
      <c r="E126" s="23"/>
      <c r="F126" s="23"/>
      <c r="G126" s="23"/>
      <c r="H126" s="21" t="str">
        <f aca="false">IF(B126="","",IF(B126=1,"OK",IF(IFERROR(INDEX(Stages!$I$6:$I$15,B126-1),"")="Verified","OK","⚠ Previous stage not verified yet")))</f>
        <v/>
      </c>
    </row>
    <row r="127" customFormat="false" ht="15" hidden="false" customHeight="false" outlineLevel="0" collapsed="false">
      <c r="A127" s="25"/>
      <c r="B127" s="30"/>
      <c r="C127" s="21" t="str">
        <f aca="false">IF(B127="","",IFERROR(INDEX(Stages!$B$6:$B$15,B127),"Unknown stage"))</f>
        <v/>
      </c>
      <c r="D127" s="26"/>
      <c r="E127" s="23"/>
      <c r="F127" s="23"/>
      <c r="G127" s="23"/>
      <c r="H127" s="21" t="str">
        <f aca="false">IF(B127="","",IF(B127=1,"OK",IF(IFERROR(INDEX(Stages!$I$6:$I$15,B127-1),"")="Verified","OK","⚠ Previous stage not verified yet")))</f>
        <v/>
      </c>
    </row>
    <row r="128" customFormat="false" ht="15" hidden="false" customHeight="false" outlineLevel="0" collapsed="false">
      <c r="A128" s="25"/>
      <c r="B128" s="30"/>
      <c r="C128" s="21" t="str">
        <f aca="false">IF(B128="","",IFERROR(INDEX(Stages!$B$6:$B$15,B128),"Unknown stage"))</f>
        <v/>
      </c>
      <c r="D128" s="26"/>
      <c r="E128" s="23"/>
      <c r="F128" s="23"/>
      <c r="G128" s="23"/>
      <c r="H128" s="21" t="str">
        <f aca="false">IF(B128="","",IF(B128=1,"OK",IF(IFERROR(INDEX(Stages!$I$6:$I$15,B128-1),"")="Verified","OK","⚠ Previous stage not verified yet")))</f>
        <v/>
      </c>
    </row>
    <row r="129" customFormat="false" ht="15" hidden="false" customHeight="false" outlineLevel="0" collapsed="false">
      <c r="A129" s="25"/>
      <c r="B129" s="30"/>
      <c r="C129" s="21" t="str">
        <f aca="false">IF(B129="","",IFERROR(INDEX(Stages!$B$6:$B$15,B129),"Unknown stage"))</f>
        <v/>
      </c>
      <c r="D129" s="26"/>
      <c r="E129" s="23"/>
      <c r="F129" s="23"/>
      <c r="G129" s="23"/>
      <c r="H129" s="21" t="str">
        <f aca="false">IF(B129="","",IF(B129=1,"OK",IF(IFERROR(INDEX(Stages!$I$6:$I$15,B129-1),"")="Verified","OK","⚠ Previous stage not verified yet")))</f>
        <v/>
      </c>
    </row>
    <row r="130" customFormat="false" ht="15" hidden="false" customHeight="false" outlineLevel="0" collapsed="false">
      <c r="A130" s="25"/>
      <c r="B130" s="30"/>
      <c r="C130" s="21" t="str">
        <f aca="false">IF(B130="","",IFERROR(INDEX(Stages!$B$6:$B$15,B130),"Unknown stage"))</f>
        <v/>
      </c>
      <c r="D130" s="26"/>
      <c r="E130" s="23"/>
      <c r="F130" s="23"/>
      <c r="G130" s="23"/>
      <c r="H130" s="21" t="str">
        <f aca="false">IF(B130="","",IF(B130=1,"OK",IF(IFERROR(INDEX(Stages!$I$6:$I$15,B130-1),"")="Verified","OK","⚠ Previous stage not verified yet")))</f>
        <v/>
      </c>
    </row>
    <row r="131" customFormat="false" ht="15" hidden="false" customHeight="false" outlineLevel="0" collapsed="false">
      <c r="A131" s="25"/>
      <c r="B131" s="30"/>
      <c r="C131" s="21" t="str">
        <f aca="false">IF(B131="","",IFERROR(INDEX(Stages!$B$6:$B$15,B131),"Unknown stage"))</f>
        <v/>
      </c>
      <c r="D131" s="26"/>
      <c r="E131" s="23"/>
      <c r="F131" s="23"/>
      <c r="G131" s="23"/>
      <c r="H131" s="21" t="str">
        <f aca="false">IF(B131="","",IF(B131=1,"OK",IF(IFERROR(INDEX(Stages!$I$6:$I$15,B131-1),"")="Verified","OK","⚠ Previous stage not verified yet")))</f>
        <v/>
      </c>
    </row>
    <row r="132" customFormat="false" ht="15" hidden="false" customHeight="false" outlineLevel="0" collapsed="false">
      <c r="A132" s="25"/>
      <c r="B132" s="30"/>
      <c r="C132" s="21" t="str">
        <f aca="false">IF(B132="","",IFERROR(INDEX(Stages!$B$6:$B$15,B132),"Unknown stage"))</f>
        <v/>
      </c>
      <c r="D132" s="26"/>
      <c r="E132" s="23"/>
      <c r="F132" s="23"/>
      <c r="G132" s="23"/>
      <c r="H132" s="21" t="str">
        <f aca="false">IF(B132="","",IF(B132=1,"OK",IF(IFERROR(INDEX(Stages!$I$6:$I$15,B132-1),"")="Verified","OK","⚠ Previous stage not verified yet")))</f>
        <v/>
      </c>
    </row>
    <row r="133" customFormat="false" ht="15" hidden="false" customHeight="false" outlineLevel="0" collapsed="false">
      <c r="A133" s="25"/>
      <c r="B133" s="30"/>
      <c r="C133" s="21" t="str">
        <f aca="false">IF(B133="","",IFERROR(INDEX(Stages!$B$6:$B$15,B133),"Unknown stage"))</f>
        <v/>
      </c>
      <c r="D133" s="26"/>
      <c r="E133" s="23"/>
      <c r="F133" s="23"/>
      <c r="G133" s="23"/>
      <c r="H133" s="21" t="str">
        <f aca="false">IF(B133="","",IF(B133=1,"OK",IF(IFERROR(INDEX(Stages!$I$6:$I$15,B133-1),"")="Verified","OK","⚠ Previous stage not verified yet")))</f>
        <v/>
      </c>
    </row>
    <row r="134" customFormat="false" ht="15" hidden="false" customHeight="false" outlineLevel="0" collapsed="false">
      <c r="A134" s="25"/>
      <c r="B134" s="30"/>
      <c r="C134" s="21" t="str">
        <f aca="false">IF(B134="","",IFERROR(INDEX(Stages!$B$6:$B$15,B134),"Unknown stage"))</f>
        <v/>
      </c>
      <c r="D134" s="26"/>
      <c r="E134" s="23"/>
      <c r="F134" s="23"/>
      <c r="G134" s="23"/>
      <c r="H134" s="21" t="str">
        <f aca="false">IF(B134="","",IF(B134=1,"OK",IF(IFERROR(INDEX(Stages!$I$6:$I$15,B134-1),"")="Verified","OK","⚠ Previous stage not verified yet")))</f>
        <v/>
      </c>
    </row>
    <row r="135" customFormat="false" ht="15" hidden="false" customHeight="false" outlineLevel="0" collapsed="false">
      <c r="A135" s="25"/>
      <c r="B135" s="30"/>
      <c r="C135" s="21" t="str">
        <f aca="false">IF(B135="","",IFERROR(INDEX(Stages!$B$6:$B$15,B135),"Unknown stage"))</f>
        <v/>
      </c>
      <c r="D135" s="26"/>
      <c r="E135" s="23"/>
      <c r="F135" s="23"/>
      <c r="G135" s="23"/>
      <c r="H135" s="21" t="str">
        <f aca="false">IF(B135="","",IF(B135=1,"OK",IF(IFERROR(INDEX(Stages!$I$6:$I$15,B135-1),"")="Verified","OK","⚠ Previous stage not verified yet")))</f>
        <v/>
      </c>
    </row>
    <row r="136" customFormat="false" ht="15" hidden="false" customHeight="false" outlineLevel="0" collapsed="false">
      <c r="A136" s="25"/>
      <c r="B136" s="30"/>
      <c r="C136" s="21" t="str">
        <f aca="false">IF(B136="","",IFERROR(INDEX(Stages!$B$6:$B$15,B136),"Unknown stage"))</f>
        <v/>
      </c>
      <c r="D136" s="26"/>
      <c r="E136" s="23"/>
      <c r="F136" s="23"/>
      <c r="G136" s="23"/>
      <c r="H136" s="21" t="str">
        <f aca="false">IF(B136="","",IF(B136=1,"OK",IF(IFERROR(INDEX(Stages!$I$6:$I$15,B136-1),"")="Verified","OK","⚠ Previous stage not verified yet")))</f>
        <v/>
      </c>
    </row>
    <row r="137" customFormat="false" ht="15" hidden="false" customHeight="false" outlineLevel="0" collapsed="false">
      <c r="A137" s="25"/>
      <c r="B137" s="30"/>
      <c r="C137" s="21" t="str">
        <f aca="false">IF(B137="","",IFERROR(INDEX(Stages!$B$6:$B$15,B137),"Unknown stage"))</f>
        <v/>
      </c>
      <c r="D137" s="26"/>
      <c r="E137" s="23"/>
      <c r="F137" s="23"/>
      <c r="G137" s="23"/>
      <c r="H137" s="21" t="str">
        <f aca="false">IF(B137="","",IF(B137=1,"OK",IF(IFERROR(INDEX(Stages!$I$6:$I$15,B137-1),"")="Verified","OK","⚠ Previous stage not verified yet")))</f>
        <v/>
      </c>
    </row>
    <row r="138" customFormat="false" ht="15" hidden="false" customHeight="false" outlineLevel="0" collapsed="false">
      <c r="A138" s="25"/>
      <c r="B138" s="30"/>
      <c r="C138" s="21" t="str">
        <f aca="false">IF(B138="","",IFERROR(INDEX(Stages!$B$6:$B$15,B138),"Unknown stage"))</f>
        <v/>
      </c>
      <c r="D138" s="26"/>
      <c r="E138" s="23"/>
      <c r="F138" s="23"/>
      <c r="G138" s="23"/>
      <c r="H138" s="21" t="str">
        <f aca="false">IF(B138="","",IF(B138=1,"OK",IF(IFERROR(INDEX(Stages!$I$6:$I$15,B138-1),"")="Verified","OK","⚠ Previous stage not verified yet")))</f>
        <v/>
      </c>
    </row>
    <row r="139" customFormat="false" ht="15" hidden="false" customHeight="false" outlineLevel="0" collapsed="false">
      <c r="A139" s="25"/>
      <c r="B139" s="30"/>
      <c r="C139" s="21" t="str">
        <f aca="false">IF(B139="","",IFERROR(INDEX(Stages!$B$6:$B$15,B139),"Unknown stage"))</f>
        <v/>
      </c>
      <c r="D139" s="26"/>
      <c r="E139" s="23"/>
      <c r="F139" s="23"/>
      <c r="G139" s="23"/>
      <c r="H139" s="21" t="str">
        <f aca="false">IF(B139="","",IF(B139=1,"OK",IF(IFERROR(INDEX(Stages!$I$6:$I$15,B139-1),"")="Verified","OK","⚠ Previous stage not verified yet")))</f>
        <v/>
      </c>
    </row>
    <row r="140" customFormat="false" ht="15" hidden="false" customHeight="false" outlineLevel="0" collapsed="false">
      <c r="A140" s="25"/>
      <c r="B140" s="30"/>
      <c r="C140" s="21" t="str">
        <f aca="false">IF(B140="","",IFERROR(INDEX(Stages!$B$6:$B$15,B140),"Unknown stage"))</f>
        <v/>
      </c>
      <c r="D140" s="26"/>
      <c r="E140" s="23"/>
      <c r="F140" s="23"/>
      <c r="G140" s="23"/>
      <c r="H140" s="21" t="str">
        <f aca="false">IF(B140="","",IF(B140=1,"OK",IF(IFERROR(INDEX(Stages!$I$6:$I$15,B140-1),"")="Verified","OK","⚠ Previous stage not verified yet")))</f>
        <v/>
      </c>
    </row>
    <row r="141" customFormat="false" ht="15" hidden="false" customHeight="false" outlineLevel="0" collapsed="false">
      <c r="A141" s="25"/>
      <c r="B141" s="30"/>
      <c r="C141" s="21" t="str">
        <f aca="false">IF(B141="","",IFERROR(INDEX(Stages!$B$6:$B$15,B141),"Unknown stage"))</f>
        <v/>
      </c>
      <c r="D141" s="26"/>
      <c r="E141" s="23"/>
      <c r="F141" s="23"/>
      <c r="G141" s="23"/>
      <c r="H141" s="21" t="str">
        <f aca="false">IF(B141="","",IF(B141=1,"OK",IF(IFERROR(INDEX(Stages!$I$6:$I$15,B141-1),"")="Verified","OK","⚠ Previous stage not verified yet")))</f>
        <v/>
      </c>
    </row>
    <row r="142" customFormat="false" ht="15" hidden="false" customHeight="false" outlineLevel="0" collapsed="false">
      <c r="A142" s="25"/>
      <c r="B142" s="30"/>
      <c r="C142" s="21" t="str">
        <f aca="false">IF(B142="","",IFERROR(INDEX(Stages!$B$6:$B$15,B142),"Unknown stage"))</f>
        <v/>
      </c>
      <c r="D142" s="26"/>
      <c r="E142" s="23"/>
      <c r="F142" s="23"/>
      <c r="G142" s="23"/>
      <c r="H142" s="21" t="str">
        <f aca="false">IF(B142="","",IF(B142=1,"OK",IF(IFERROR(INDEX(Stages!$I$6:$I$15,B142-1),"")="Verified","OK","⚠ Previous stage not verified yet")))</f>
        <v/>
      </c>
    </row>
    <row r="143" customFormat="false" ht="15" hidden="false" customHeight="false" outlineLevel="0" collapsed="false">
      <c r="A143" s="25"/>
      <c r="B143" s="30"/>
      <c r="C143" s="21" t="str">
        <f aca="false">IF(B143="","",IFERROR(INDEX(Stages!$B$6:$B$15,B143),"Unknown stage"))</f>
        <v/>
      </c>
      <c r="D143" s="26"/>
      <c r="E143" s="23"/>
      <c r="F143" s="23"/>
      <c r="G143" s="23"/>
      <c r="H143" s="21" t="str">
        <f aca="false">IF(B143="","",IF(B143=1,"OK",IF(IFERROR(INDEX(Stages!$I$6:$I$15,B143-1),"")="Verified","OK","⚠ Previous stage not verified yet")))</f>
        <v/>
      </c>
    </row>
    <row r="144" customFormat="false" ht="15" hidden="false" customHeight="false" outlineLevel="0" collapsed="false">
      <c r="A144" s="25"/>
      <c r="B144" s="30"/>
      <c r="C144" s="21" t="str">
        <f aca="false">IF(B144="","",IFERROR(INDEX(Stages!$B$6:$B$15,B144),"Unknown stage"))</f>
        <v/>
      </c>
      <c r="D144" s="26"/>
      <c r="E144" s="23"/>
      <c r="F144" s="23"/>
      <c r="G144" s="23"/>
      <c r="H144" s="21" t="str">
        <f aca="false">IF(B144="","",IF(B144=1,"OK",IF(IFERROR(INDEX(Stages!$I$6:$I$15,B144-1),"")="Verified","OK","⚠ Previous stage not verified yet")))</f>
        <v/>
      </c>
    </row>
    <row r="145" customFormat="false" ht="15" hidden="false" customHeight="false" outlineLevel="0" collapsed="false">
      <c r="A145" s="25"/>
      <c r="B145" s="30"/>
      <c r="C145" s="21" t="str">
        <f aca="false">IF(B145="","",IFERROR(INDEX(Stages!$B$6:$B$15,B145),"Unknown stage"))</f>
        <v/>
      </c>
      <c r="D145" s="26"/>
      <c r="E145" s="23"/>
      <c r="F145" s="23"/>
      <c r="G145" s="23"/>
      <c r="H145" s="21" t="str">
        <f aca="false">IF(B145="","",IF(B145=1,"OK",IF(IFERROR(INDEX(Stages!$I$6:$I$15,B145-1),"")="Verified","OK","⚠ Previous stage not verified yet")))</f>
        <v/>
      </c>
    </row>
    <row r="146" customFormat="false" ht="15" hidden="false" customHeight="false" outlineLevel="0" collapsed="false">
      <c r="A146" s="25"/>
      <c r="B146" s="30"/>
      <c r="C146" s="21" t="str">
        <f aca="false">IF(B146="","",IFERROR(INDEX(Stages!$B$6:$B$15,B146),"Unknown stage"))</f>
        <v/>
      </c>
      <c r="D146" s="26"/>
      <c r="E146" s="23"/>
      <c r="F146" s="23"/>
      <c r="G146" s="23"/>
      <c r="H146" s="21" t="str">
        <f aca="false">IF(B146="","",IF(B146=1,"OK",IF(IFERROR(INDEX(Stages!$I$6:$I$15,B146-1),"")="Verified","OK","⚠ Previous stage not verified yet")))</f>
        <v/>
      </c>
    </row>
    <row r="147" customFormat="false" ht="15" hidden="false" customHeight="false" outlineLevel="0" collapsed="false">
      <c r="A147" s="25"/>
      <c r="B147" s="30"/>
      <c r="C147" s="21" t="str">
        <f aca="false">IF(B147="","",IFERROR(INDEX(Stages!$B$6:$B$15,B147),"Unknown stage"))</f>
        <v/>
      </c>
      <c r="D147" s="26"/>
      <c r="E147" s="23"/>
      <c r="F147" s="23"/>
      <c r="G147" s="23"/>
      <c r="H147" s="21" t="str">
        <f aca="false">IF(B147="","",IF(B147=1,"OK",IF(IFERROR(INDEX(Stages!$I$6:$I$15,B147-1),"")="Verified","OK","⚠ Previous stage not verified yet")))</f>
        <v/>
      </c>
    </row>
    <row r="148" customFormat="false" ht="15" hidden="false" customHeight="false" outlineLevel="0" collapsed="false">
      <c r="A148" s="25"/>
      <c r="B148" s="30"/>
      <c r="C148" s="21" t="str">
        <f aca="false">IF(B148="","",IFERROR(INDEX(Stages!$B$6:$B$15,B148),"Unknown stage"))</f>
        <v/>
      </c>
      <c r="D148" s="26"/>
      <c r="E148" s="23"/>
      <c r="F148" s="23"/>
      <c r="G148" s="23"/>
      <c r="H148" s="21" t="str">
        <f aca="false">IF(B148="","",IF(B148=1,"OK",IF(IFERROR(INDEX(Stages!$I$6:$I$15,B148-1),"")="Verified","OK","⚠ Previous stage not verified yet")))</f>
        <v/>
      </c>
    </row>
    <row r="149" customFormat="false" ht="15" hidden="false" customHeight="false" outlineLevel="0" collapsed="false">
      <c r="A149" s="25"/>
      <c r="B149" s="30"/>
      <c r="C149" s="21" t="str">
        <f aca="false">IF(B149="","",IFERROR(INDEX(Stages!$B$6:$B$15,B149),"Unknown stage"))</f>
        <v/>
      </c>
      <c r="D149" s="26"/>
      <c r="E149" s="23"/>
      <c r="F149" s="23"/>
      <c r="G149" s="23"/>
      <c r="H149" s="21" t="str">
        <f aca="false">IF(B149="","",IF(B149=1,"OK",IF(IFERROR(INDEX(Stages!$I$6:$I$15,B149-1),"")="Verified","OK","⚠ Previous stage not verified yet")))</f>
        <v/>
      </c>
    </row>
    <row r="150" customFormat="false" ht="15" hidden="false" customHeight="false" outlineLevel="0" collapsed="false">
      <c r="A150" s="25"/>
      <c r="B150" s="30"/>
      <c r="C150" s="21" t="str">
        <f aca="false">IF(B150="","",IFERROR(INDEX(Stages!$B$6:$B$15,B150),"Unknown stage"))</f>
        <v/>
      </c>
      <c r="D150" s="26"/>
      <c r="E150" s="23"/>
      <c r="F150" s="23"/>
      <c r="G150" s="23"/>
      <c r="H150" s="21" t="str">
        <f aca="false">IF(B150="","",IF(B150=1,"OK",IF(IFERROR(INDEX(Stages!$I$6:$I$15,B150-1),"")="Verified","OK","⚠ Previous stage not verified yet")))</f>
        <v/>
      </c>
    </row>
    <row r="151" customFormat="false" ht="15" hidden="false" customHeight="false" outlineLevel="0" collapsed="false">
      <c r="A151" s="25"/>
      <c r="B151" s="30"/>
      <c r="C151" s="21" t="str">
        <f aca="false">IF(B151="","",IFERROR(INDEX(Stages!$B$6:$B$15,B151),"Unknown stage"))</f>
        <v/>
      </c>
      <c r="D151" s="26"/>
      <c r="E151" s="23"/>
      <c r="F151" s="23"/>
      <c r="G151" s="23"/>
      <c r="H151" s="21" t="str">
        <f aca="false">IF(B151="","",IF(B151=1,"OK",IF(IFERROR(INDEX(Stages!$I$6:$I$15,B151-1),"")="Verified","OK","⚠ Previous stage not verified yet")))</f>
        <v/>
      </c>
    </row>
    <row r="152" customFormat="false" ht="15" hidden="false" customHeight="false" outlineLevel="0" collapsed="false">
      <c r="A152" s="25"/>
      <c r="B152" s="30"/>
      <c r="C152" s="21" t="str">
        <f aca="false">IF(B152="","",IFERROR(INDEX(Stages!$B$6:$B$15,B152),"Unknown stage"))</f>
        <v/>
      </c>
      <c r="D152" s="26"/>
      <c r="E152" s="23"/>
      <c r="F152" s="23"/>
      <c r="G152" s="23"/>
      <c r="H152" s="21" t="str">
        <f aca="false">IF(B152="","",IF(B152=1,"OK",IF(IFERROR(INDEX(Stages!$I$6:$I$15,B152-1),"")="Verified","OK","⚠ Previous stage not verified yet")))</f>
        <v/>
      </c>
    </row>
    <row r="153" customFormat="false" ht="15" hidden="false" customHeight="false" outlineLevel="0" collapsed="false">
      <c r="A153" s="25"/>
      <c r="B153" s="30"/>
      <c r="C153" s="21" t="str">
        <f aca="false">IF(B153="","",IFERROR(INDEX(Stages!$B$6:$B$15,B153),"Unknown stage"))</f>
        <v/>
      </c>
      <c r="D153" s="26"/>
      <c r="E153" s="23"/>
      <c r="F153" s="23"/>
      <c r="G153" s="23"/>
      <c r="H153" s="21" t="str">
        <f aca="false">IF(B153="","",IF(B153=1,"OK",IF(IFERROR(INDEX(Stages!$I$6:$I$15,B153-1),"")="Verified","OK","⚠ Previous stage not verified yet")))</f>
        <v/>
      </c>
    </row>
    <row r="154" customFormat="false" ht="15" hidden="false" customHeight="false" outlineLevel="0" collapsed="false">
      <c r="A154" s="25"/>
      <c r="B154" s="30"/>
      <c r="C154" s="21" t="str">
        <f aca="false">IF(B154="","",IFERROR(INDEX(Stages!$B$6:$B$15,B154),"Unknown stage"))</f>
        <v/>
      </c>
      <c r="D154" s="26"/>
      <c r="E154" s="23"/>
      <c r="F154" s="23"/>
      <c r="G154" s="23"/>
      <c r="H154" s="21" t="str">
        <f aca="false">IF(B154="","",IF(B154=1,"OK",IF(IFERROR(INDEX(Stages!$I$6:$I$15,B154-1),"")="Verified","OK","⚠ Previous stage not verified yet")))</f>
        <v/>
      </c>
    </row>
    <row r="155" customFormat="false" ht="15" hidden="false" customHeight="false" outlineLevel="0" collapsed="false">
      <c r="A155" s="25"/>
      <c r="B155" s="30"/>
      <c r="C155" s="21" t="str">
        <f aca="false">IF(B155="","",IFERROR(INDEX(Stages!$B$6:$B$15,B155),"Unknown stage"))</f>
        <v/>
      </c>
      <c r="D155" s="26"/>
      <c r="E155" s="23"/>
      <c r="F155" s="23"/>
      <c r="G155" s="23"/>
      <c r="H155" s="21" t="str">
        <f aca="false">IF(B155="","",IF(B155=1,"OK",IF(IFERROR(INDEX(Stages!$I$6:$I$15,B155-1),"")="Verified","OK","⚠ Previous stage not verified yet")))</f>
        <v/>
      </c>
    </row>
    <row r="156" customFormat="false" ht="15" hidden="false" customHeight="false" outlineLevel="0" collapsed="false">
      <c r="A156" s="25"/>
      <c r="B156" s="30"/>
      <c r="C156" s="21" t="str">
        <f aca="false">IF(B156="","",IFERROR(INDEX(Stages!$B$6:$B$15,B156),"Unknown stage"))</f>
        <v/>
      </c>
      <c r="D156" s="26"/>
      <c r="E156" s="23"/>
      <c r="F156" s="23"/>
      <c r="G156" s="23"/>
      <c r="H156" s="21" t="str">
        <f aca="false">IF(B156="","",IF(B156=1,"OK",IF(IFERROR(INDEX(Stages!$I$6:$I$15,B156-1),"")="Verified","OK","⚠ Previous stage not verified yet")))</f>
        <v/>
      </c>
    </row>
    <row r="157" customFormat="false" ht="15" hidden="false" customHeight="false" outlineLevel="0" collapsed="false">
      <c r="A157" s="25"/>
      <c r="B157" s="30"/>
      <c r="C157" s="21" t="str">
        <f aca="false">IF(B157="","",IFERROR(INDEX(Stages!$B$6:$B$15,B157),"Unknown stage"))</f>
        <v/>
      </c>
      <c r="D157" s="26"/>
      <c r="E157" s="23"/>
      <c r="F157" s="23"/>
      <c r="G157" s="23"/>
      <c r="H157" s="21" t="str">
        <f aca="false">IF(B157="","",IF(B157=1,"OK",IF(IFERROR(INDEX(Stages!$I$6:$I$15,B157-1),"")="Verified","OK","⚠ Previous stage not verified yet")))</f>
        <v/>
      </c>
    </row>
    <row r="158" customFormat="false" ht="15" hidden="false" customHeight="false" outlineLevel="0" collapsed="false">
      <c r="A158" s="25"/>
      <c r="B158" s="30"/>
      <c r="C158" s="21" t="str">
        <f aca="false">IF(B158="","",IFERROR(INDEX(Stages!$B$6:$B$15,B158),"Unknown stage"))</f>
        <v/>
      </c>
      <c r="D158" s="26"/>
      <c r="E158" s="23"/>
      <c r="F158" s="23"/>
      <c r="G158" s="23"/>
      <c r="H158" s="21" t="str">
        <f aca="false">IF(B158="","",IF(B158=1,"OK",IF(IFERROR(INDEX(Stages!$I$6:$I$15,B158-1),"")="Verified","OK","⚠ Previous stage not verified yet")))</f>
        <v/>
      </c>
    </row>
    <row r="159" customFormat="false" ht="15" hidden="false" customHeight="false" outlineLevel="0" collapsed="false">
      <c r="A159" s="25"/>
      <c r="B159" s="30"/>
      <c r="C159" s="21" t="str">
        <f aca="false">IF(B159="","",IFERROR(INDEX(Stages!$B$6:$B$15,B159),"Unknown stage"))</f>
        <v/>
      </c>
      <c r="D159" s="26"/>
      <c r="E159" s="23"/>
      <c r="F159" s="23"/>
      <c r="G159" s="23"/>
      <c r="H159" s="21" t="str">
        <f aca="false">IF(B159="","",IF(B159=1,"OK",IF(IFERROR(INDEX(Stages!$I$6:$I$15,B159-1),"")="Verified","OK","⚠ Previous stage not verified yet")))</f>
        <v/>
      </c>
    </row>
    <row r="160" customFormat="false" ht="15" hidden="false" customHeight="false" outlineLevel="0" collapsed="false">
      <c r="A160" s="25"/>
      <c r="B160" s="30"/>
      <c r="C160" s="21" t="str">
        <f aca="false">IF(B160="","",IFERROR(INDEX(Stages!$B$6:$B$15,B160),"Unknown stage"))</f>
        <v/>
      </c>
      <c r="D160" s="26"/>
      <c r="E160" s="23"/>
      <c r="F160" s="23"/>
      <c r="G160" s="23"/>
      <c r="H160" s="21" t="str">
        <f aca="false">IF(B160="","",IF(B160=1,"OK",IF(IFERROR(INDEX(Stages!$I$6:$I$15,B160-1),"")="Verified","OK","⚠ Previous stage not verified yet")))</f>
        <v/>
      </c>
    </row>
    <row r="161" customFormat="false" ht="15" hidden="false" customHeight="false" outlineLevel="0" collapsed="false">
      <c r="A161" s="25"/>
      <c r="B161" s="30"/>
      <c r="C161" s="21" t="str">
        <f aca="false">IF(B161="","",IFERROR(INDEX(Stages!$B$6:$B$15,B161),"Unknown stage"))</f>
        <v/>
      </c>
      <c r="D161" s="26"/>
      <c r="E161" s="23"/>
      <c r="F161" s="23"/>
      <c r="G161" s="23"/>
      <c r="H161" s="21" t="str">
        <f aca="false">IF(B161="","",IF(B161=1,"OK",IF(IFERROR(INDEX(Stages!$I$6:$I$15,B161-1),"")="Verified","OK","⚠ Previous stage not verified yet")))</f>
        <v/>
      </c>
    </row>
    <row r="162" customFormat="false" ht="15" hidden="false" customHeight="false" outlineLevel="0" collapsed="false">
      <c r="A162" s="25"/>
      <c r="B162" s="30"/>
      <c r="C162" s="21" t="str">
        <f aca="false">IF(B162="","",IFERROR(INDEX(Stages!$B$6:$B$15,B162),"Unknown stage"))</f>
        <v/>
      </c>
      <c r="D162" s="26"/>
      <c r="E162" s="23"/>
      <c r="F162" s="23"/>
      <c r="G162" s="23"/>
      <c r="H162" s="21" t="str">
        <f aca="false">IF(B162="","",IF(B162=1,"OK",IF(IFERROR(INDEX(Stages!$I$6:$I$15,B162-1),"")="Verified","OK","⚠ Previous stage not verified yet")))</f>
        <v/>
      </c>
    </row>
    <row r="163" customFormat="false" ht="15" hidden="false" customHeight="false" outlineLevel="0" collapsed="false">
      <c r="A163" s="25"/>
      <c r="B163" s="30"/>
      <c r="C163" s="21" t="str">
        <f aca="false">IF(B163="","",IFERROR(INDEX(Stages!$B$6:$B$15,B163),"Unknown stage"))</f>
        <v/>
      </c>
      <c r="D163" s="26"/>
      <c r="E163" s="23"/>
      <c r="F163" s="23"/>
      <c r="G163" s="23"/>
      <c r="H163" s="21" t="str">
        <f aca="false">IF(B163="","",IF(B163=1,"OK",IF(IFERROR(INDEX(Stages!$I$6:$I$15,B163-1),"")="Verified","OK","⚠ Previous stage not verified yet")))</f>
        <v/>
      </c>
    </row>
    <row r="164" customFormat="false" ht="15" hidden="false" customHeight="false" outlineLevel="0" collapsed="false">
      <c r="A164" s="25"/>
      <c r="B164" s="30"/>
      <c r="C164" s="21" t="str">
        <f aca="false">IF(B164="","",IFERROR(INDEX(Stages!$B$6:$B$15,B164),"Unknown stage"))</f>
        <v/>
      </c>
      <c r="D164" s="26"/>
      <c r="E164" s="23"/>
      <c r="F164" s="23"/>
      <c r="G164" s="23"/>
      <c r="H164" s="21" t="str">
        <f aca="false">IF(B164="","",IF(B164=1,"OK",IF(IFERROR(INDEX(Stages!$I$6:$I$15,B164-1),"")="Verified","OK","⚠ Previous stage not verified yet")))</f>
        <v/>
      </c>
    </row>
    <row r="165" customFormat="false" ht="15" hidden="false" customHeight="false" outlineLevel="0" collapsed="false">
      <c r="A165" s="25"/>
      <c r="B165" s="30"/>
      <c r="C165" s="21" t="str">
        <f aca="false">IF(B165="","",IFERROR(INDEX(Stages!$B$6:$B$15,B165),"Unknown stage"))</f>
        <v/>
      </c>
      <c r="D165" s="26"/>
      <c r="E165" s="23"/>
      <c r="F165" s="23"/>
      <c r="G165" s="23"/>
      <c r="H165" s="21" t="str">
        <f aca="false">IF(B165="","",IF(B165=1,"OK",IF(IFERROR(INDEX(Stages!$I$6:$I$15,B165-1),"")="Verified","OK","⚠ Previous stage not verified yet")))</f>
        <v/>
      </c>
    </row>
    <row r="166" customFormat="false" ht="15" hidden="false" customHeight="false" outlineLevel="0" collapsed="false">
      <c r="A166" s="25"/>
      <c r="B166" s="30"/>
      <c r="C166" s="21" t="str">
        <f aca="false">IF(B166="","",IFERROR(INDEX(Stages!$B$6:$B$15,B166),"Unknown stage"))</f>
        <v/>
      </c>
      <c r="D166" s="26"/>
      <c r="E166" s="23"/>
      <c r="F166" s="23"/>
      <c r="G166" s="23"/>
      <c r="H166" s="21" t="str">
        <f aca="false">IF(B166="","",IF(B166=1,"OK",IF(IFERROR(INDEX(Stages!$I$6:$I$15,B166-1),"")="Verified","OK","⚠ Previous stage not verified yet")))</f>
        <v/>
      </c>
    </row>
    <row r="167" customFormat="false" ht="15" hidden="false" customHeight="false" outlineLevel="0" collapsed="false">
      <c r="A167" s="25"/>
      <c r="B167" s="30"/>
      <c r="C167" s="21" t="str">
        <f aca="false">IF(B167="","",IFERROR(INDEX(Stages!$B$6:$B$15,B167),"Unknown stage"))</f>
        <v/>
      </c>
      <c r="D167" s="26"/>
      <c r="E167" s="23"/>
      <c r="F167" s="23"/>
      <c r="G167" s="23"/>
      <c r="H167" s="21" t="str">
        <f aca="false">IF(B167="","",IF(B167=1,"OK",IF(IFERROR(INDEX(Stages!$I$6:$I$15,B167-1),"")="Verified","OK","⚠ Previous stage not verified yet")))</f>
        <v/>
      </c>
    </row>
    <row r="168" customFormat="false" ht="15" hidden="false" customHeight="false" outlineLevel="0" collapsed="false">
      <c r="A168" s="25"/>
      <c r="B168" s="30"/>
      <c r="C168" s="21" t="str">
        <f aca="false">IF(B168="","",IFERROR(INDEX(Stages!$B$6:$B$15,B168),"Unknown stage"))</f>
        <v/>
      </c>
      <c r="D168" s="26"/>
      <c r="E168" s="23"/>
      <c r="F168" s="23"/>
      <c r="G168" s="23"/>
      <c r="H168" s="21" t="str">
        <f aca="false">IF(B168="","",IF(B168=1,"OK",IF(IFERROR(INDEX(Stages!$I$6:$I$15,B168-1),"")="Verified","OK","⚠ Previous stage not verified yet")))</f>
        <v/>
      </c>
    </row>
    <row r="169" customFormat="false" ht="15" hidden="false" customHeight="false" outlineLevel="0" collapsed="false">
      <c r="A169" s="25"/>
      <c r="B169" s="30"/>
      <c r="C169" s="21" t="str">
        <f aca="false">IF(B169="","",IFERROR(INDEX(Stages!$B$6:$B$15,B169),"Unknown stage"))</f>
        <v/>
      </c>
      <c r="D169" s="26"/>
      <c r="E169" s="23"/>
      <c r="F169" s="23"/>
      <c r="G169" s="23"/>
      <c r="H169" s="21" t="str">
        <f aca="false">IF(B169="","",IF(B169=1,"OK",IF(IFERROR(INDEX(Stages!$I$6:$I$15,B169-1),"")="Verified","OK","⚠ Previous stage not verified yet")))</f>
        <v/>
      </c>
    </row>
    <row r="170" customFormat="false" ht="15" hidden="false" customHeight="false" outlineLevel="0" collapsed="false">
      <c r="A170" s="25"/>
      <c r="B170" s="30"/>
      <c r="C170" s="21" t="str">
        <f aca="false">IF(B170="","",IFERROR(INDEX(Stages!$B$6:$B$15,B170),"Unknown stage"))</f>
        <v/>
      </c>
      <c r="D170" s="26"/>
      <c r="E170" s="23"/>
      <c r="F170" s="23"/>
      <c r="G170" s="23"/>
      <c r="H170" s="21" t="str">
        <f aca="false">IF(B170="","",IF(B170=1,"OK",IF(IFERROR(INDEX(Stages!$I$6:$I$15,B170-1),"")="Verified","OK","⚠ Previous stage not verified yet")))</f>
        <v/>
      </c>
    </row>
    <row r="171" customFormat="false" ht="15" hidden="false" customHeight="false" outlineLevel="0" collapsed="false">
      <c r="A171" s="25"/>
      <c r="B171" s="30"/>
      <c r="C171" s="21" t="str">
        <f aca="false">IF(B171="","",IFERROR(INDEX(Stages!$B$6:$B$15,B171),"Unknown stage"))</f>
        <v/>
      </c>
      <c r="D171" s="26"/>
      <c r="E171" s="23"/>
      <c r="F171" s="23"/>
      <c r="G171" s="23"/>
      <c r="H171" s="21" t="str">
        <f aca="false">IF(B171="","",IF(B171=1,"OK",IF(IFERROR(INDEX(Stages!$I$6:$I$15,B171-1),"")="Verified","OK","⚠ Previous stage not verified yet")))</f>
        <v/>
      </c>
    </row>
    <row r="172" customFormat="false" ht="15" hidden="false" customHeight="false" outlineLevel="0" collapsed="false">
      <c r="A172" s="25"/>
      <c r="B172" s="30"/>
      <c r="C172" s="21" t="str">
        <f aca="false">IF(B172="","",IFERROR(INDEX(Stages!$B$6:$B$15,B172),"Unknown stage"))</f>
        <v/>
      </c>
      <c r="D172" s="26"/>
      <c r="E172" s="23"/>
      <c r="F172" s="23"/>
      <c r="G172" s="23"/>
      <c r="H172" s="21" t="str">
        <f aca="false">IF(B172="","",IF(B172=1,"OK",IF(IFERROR(INDEX(Stages!$I$6:$I$15,B172-1),"")="Verified","OK","⚠ Previous stage not verified yet")))</f>
        <v/>
      </c>
    </row>
    <row r="173" customFormat="false" ht="15" hidden="false" customHeight="false" outlineLevel="0" collapsed="false">
      <c r="A173" s="25"/>
      <c r="B173" s="30"/>
      <c r="C173" s="21" t="str">
        <f aca="false">IF(B173="","",IFERROR(INDEX(Stages!$B$6:$B$15,B173),"Unknown stage"))</f>
        <v/>
      </c>
      <c r="D173" s="26"/>
      <c r="E173" s="23"/>
      <c r="F173" s="23"/>
      <c r="G173" s="23"/>
      <c r="H173" s="21" t="str">
        <f aca="false">IF(B173="","",IF(B173=1,"OK",IF(IFERROR(INDEX(Stages!$I$6:$I$15,B173-1),"")="Verified","OK","⚠ Previous stage not verified yet")))</f>
        <v/>
      </c>
    </row>
    <row r="174" customFormat="false" ht="15" hidden="false" customHeight="false" outlineLevel="0" collapsed="false">
      <c r="A174" s="25"/>
      <c r="B174" s="30"/>
      <c r="C174" s="21" t="str">
        <f aca="false">IF(B174="","",IFERROR(INDEX(Stages!$B$6:$B$15,B174),"Unknown stage"))</f>
        <v/>
      </c>
      <c r="D174" s="26"/>
      <c r="E174" s="23"/>
      <c r="F174" s="23"/>
      <c r="G174" s="23"/>
      <c r="H174" s="21" t="str">
        <f aca="false">IF(B174="","",IF(B174=1,"OK",IF(IFERROR(INDEX(Stages!$I$6:$I$15,B174-1),"")="Verified","OK","⚠ Previous stage not verified yet")))</f>
        <v/>
      </c>
    </row>
    <row r="175" customFormat="false" ht="15" hidden="false" customHeight="false" outlineLevel="0" collapsed="false">
      <c r="A175" s="25"/>
      <c r="B175" s="30"/>
      <c r="C175" s="21" t="str">
        <f aca="false">IF(B175="","",IFERROR(INDEX(Stages!$B$6:$B$15,B175),"Unknown stage"))</f>
        <v/>
      </c>
      <c r="D175" s="26"/>
      <c r="E175" s="23"/>
      <c r="F175" s="23"/>
      <c r="G175" s="23"/>
      <c r="H175" s="21" t="str">
        <f aca="false">IF(B175="","",IF(B175=1,"OK",IF(IFERROR(INDEX(Stages!$I$6:$I$15,B175-1),"")="Verified","OK","⚠ Previous stage not verified yet")))</f>
        <v/>
      </c>
    </row>
    <row r="176" customFormat="false" ht="15" hidden="false" customHeight="false" outlineLevel="0" collapsed="false">
      <c r="A176" s="25"/>
      <c r="B176" s="30"/>
      <c r="C176" s="21" t="str">
        <f aca="false">IF(B176="","",IFERROR(INDEX(Stages!$B$6:$B$15,B176),"Unknown stage"))</f>
        <v/>
      </c>
      <c r="D176" s="26"/>
      <c r="E176" s="23"/>
      <c r="F176" s="23"/>
      <c r="G176" s="23"/>
      <c r="H176" s="21" t="str">
        <f aca="false">IF(B176="","",IF(B176=1,"OK",IF(IFERROR(INDEX(Stages!$I$6:$I$15,B176-1),"")="Verified","OK","⚠ Previous stage not verified yet")))</f>
        <v/>
      </c>
    </row>
    <row r="177" customFormat="false" ht="15" hidden="false" customHeight="false" outlineLevel="0" collapsed="false">
      <c r="A177" s="25"/>
      <c r="B177" s="30"/>
      <c r="C177" s="21" t="str">
        <f aca="false">IF(B177="","",IFERROR(INDEX(Stages!$B$6:$B$15,B177),"Unknown stage"))</f>
        <v/>
      </c>
      <c r="D177" s="26"/>
      <c r="E177" s="23"/>
      <c r="F177" s="23"/>
      <c r="G177" s="23"/>
      <c r="H177" s="21" t="str">
        <f aca="false">IF(B177="","",IF(B177=1,"OK",IF(IFERROR(INDEX(Stages!$I$6:$I$15,B177-1),"")="Verified","OK","⚠ Previous stage not verified yet")))</f>
        <v/>
      </c>
    </row>
    <row r="178" customFormat="false" ht="15" hidden="false" customHeight="false" outlineLevel="0" collapsed="false">
      <c r="A178" s="25"/>
      <c r="B178" s="30"/>
      <c r="C178" s="21" t="str">
        <f aca="false">IF(B178="","",IFERROR(INDEX(Stages!$B$6:$B$15,B178),"Unknown stage"))</f>
        <v/>
      </c>
      <c r="D178" s="26"/>
      <c r="E178" s="23"/>
      <c r="F178" s="23"/>
      <c r="G178" s="23"/>
      <c r="H178" s="21" t="str">
        <f aca="false">IF(B178="","",IF(B178=1,"OK",IF(IFERROR(INDEX(Stages!$I$6:$I$15,B178-1),"")="Verified","OK","⚠ Previous stage not verified yet")))</f>
        <v/>
      </c>
    </row>
    <row r="179" customFormat="false" ht="15" hidden="false" customHeight="false" outlineLevel="0" collapsed="false">
      <c r="A179" s="25"/>
      <c r="B179" s="30"/>
      <c r="C179" s="21" t="str">
        <f aca="false">IF(B179="","",IFERROR(INDEX(Stages!$B$6:$B$15,B179),"Unknown stage"))</f>
        <v/>
      </c>
      <c r="D179" s="26"/>
      <c r="E179" s="23"/>
      <c r="F179" s="23"/>
      <c r="G179" s="23"/>
      <c r="H179" s="21" t="str">
        <f aca="false">IF(B179="","",IF(B179=1,"OK",IF(IFERROR(INDEX(Stages!$I$6:$I$15,B179-1),"")="Verified","OK","⚠ Previous stage not verified yet")))</f>
        <v/>
      </c>
    </row>
    <row r="180" customFormat="false" ht="15" hidden="false" customHeight="false" outlineLevel="0" collapsed="false">
      <c r="A180" s="25"/>
      <c r="B180" s="30"/>
      <c r="C180" s="21" t="str">
        <f aca="false">IF(B180="","",IFERROR(INDEX(Stages!$B$6:$B$15,B180),"Unknown stage"))</f>
        <v/>
      </c>
      <c r="D180" s="26"/>
      <c r="E180" s="23"/>
      <c r="F180" s="23"/>
      <c r="G180" s="23"/>
      <c r="H180" s="21" t="str">
        <f aca="false">IF(B180="","",IF(B180=1,"OK",IF(IFERROR(INDEX(Stages!$I$6:$I$15,B180-1),"")="Verified","OK","⚠ Previous stage not verified yet")))</f>
        <v/>
      </c>
    </row>
    <row r="181" customFormat="false" ht="15" hidden="false" customHeight="false" outlineLevel="0" collapsed="false">
      <c r="A181" s="25"/>
      <c r="B181" s="30"/>
      <c r="C181" s="21" t="str">
        <f aca="false">IF(B181="","",IFERROR(INDEX(Stages!$B$6:$B$15,B181),"Unknown stage"))</f>
        <v/>
      </c>
      <c r="D181" s="26"/>
      <c r="E181" s="23"/>
      <c r="F181" s="23"/>
      <c r="G181" s="23"/>
      <c r="H181" s="21" t="str">
        <f aca="false">IF(B181="","",IF(B181=1,"OK",IF(IFERROR(INDEX(Stages!$I$6:$I$15,B181-1),"")="Verified","OK","⚠ Previous stage not verified yet")))</f>
        <v/>
      </c>
    </row>
    <row r="182" customFormat="false" ht="15" hidden="false" customHeight="false" outlineLevel="0" collapsed="false">
      <c r="A182" s="25"/>
      <c r="B182" s="30"/>
      <c r="C182" s="21" t="str">
        <f aca="false">IF(B182="","",IFERROR(INDEX(Stages!$B$6:$B$15,B182),"Unknown stage"))</f>
        <v/>
      </c>
      <c r="D182" s="26"/>
      <c r="E182" s="23"/>
      <c r="F182" s="23"/>
      <c r="G182" s="23"/>
      <c r="H182" s="21" t="str">
        <f aca="false">IF(B182="","",IF(B182=1,"OK",IF(IFERROR(INDEX(Stages!$I$6:$I$15,B182-1),"")="Verified","OK","⚠ Previous stage not verified yet")))</f>
        <v/>
      </c>
    </row>
    <row r="183" customFormat="false" ht="15" hidden="false" customHeight="false" outlineLevel="0" collapsed="false">
      <c r="A183" s="25"/>
      <c r="B183" s="30"/>
      <c r="C183" s="21" t="str">
        <f aca="false">IF(B183="","",IFERROR(INDEX(Stages!$B$6:$B$15,B183),"Unknown stage"))</f>
        <v/>
      </c>
      <c r="D183" s="26"/>
      <c r="E183" s="23"/>
      <c r="F183" s="23"/>
      <c r="G183" s="23"/>
      <c r="H183" s="21" t="str">
        <f aca="false">IF(B183="","",IF(B183=1,"OK",IF(IFERROR(INDEX(Stages!$I$6:$I$15,B183-1),"")="Verified","OK","⚠ Previous stage not verified yet")))</f>
        <v/>
      </c>
    </row>
    <row r="184" customFormat="false" ht="15" hidden="false" customHeight="false" outlineLevel="0" collapsed="false">
      <c r="A184" s="25"/>
      <c r="B184" s="30"/>
      <c r="C184" s="21" t="str">
        <f aca="false">IF(B184="","",IFERROR(INDEX(Stages!$B$6:$B$15,B184),"Unknown stage"))</f>
        <v/>
      </c>
      <c r="D184" s="26"/>
      <c r="E184" s="23"/>
      <c r="F184" s="23"/>
      <c r="G184" s="23"/>
      <c r="H184" s="21" t="str">
        <f aca="false">IF(B184="","",IF(B184=1,"OK",IF(IFERROR(INDEX(Stages!$I$6:$I$15,B184-1),"")="Verified","OK","⚠ Previous stage not verified yet")))</f>
        <v/>
      </c>
    </row>
    <row r="185" customFormat="false" ht="15" hidden="false" customHeight="false" outlineLevel="0" collapsed="false">
      <c r="A185" s="25"/>
      <c r="B185" s="30"/>
      <c r="C185" s="21" t="str">
        <f aca="false">IF(B185="","",IFERROR(INDEX(Stages!$B$6:$B$15,B185),"Unknown stage"))</f>
        <v/>
      </c>
      <c r="D185" s="26"/>
      <c r="E185" s="23"/>
      <c r="F185" s="23"/>
      <c r="G185" s="23"/>
      <c r="H185" s="21" t="str">
        <f aca="false">IF(B185="","",IF(B185=1,"OK",IF(IFERROR(INDEX(Stages!$I$6:$I$15,B185-1),"")="Verified","OK","⚠ Previous stage not verified yet")))</f>
        <v/>
      </c>
    </row>
    <row r="186" customFormat="false" ht="15" hidden="false" customHeight="false" outlineLevel="0" collapsed="false">
      <c r="A186" s="25"/>
      <c r="B186" s="30"/>
      <c r="C186" s="21" t="str">
        <f aca="false">IF(B186="","",IFERROR(INDEX(Stages!$B$6:$B$15,B186),"Unknown stage"))</f>
        <v/>
      </c>
      <c r="D186" s="26"/>
      <c r="E186" s="23"/>
      <c r="F186" s="23"/>
      <c r="G186" s="23"/>
      <c r="H186" s="21" t="str">
        <f aca="false">IF(B186="","",IF(B186=1,"OK",IF(IFERROR(INDEX(Stages!$I$6:$I$15,B186-1),"")="Verified","OK","⚠ Previous stage not verified yet")))</f>
        <v/>
      </c>
    </row>
    <row r="187" customFormat="false" ht="15" hidden="false" customHeight="false" outlineLevel="0" collapsed="false">
      <c r="A187" s="25"/>
      <c r="B187" s="30"/>
      <c r="C187" s="21" t="str">
        <f aca="false">IF(B187="","",IFERROR(INDEX(Stages!$B$6:$B$15,B187),"Unknown stage"))</f>
        <v/>
      </c>
      <c r="D187" s="26"/>
      <c r="E187" s="23"/>
      <c r="F187" s="23"/>
      <c r="G187" s="23"/>
      <c r="H187" s="21" t="str">
        <f aca="false">IF(B187="","",IF(B187=1,"OK",IF(IFERROR(INDEX(Stages!$I$6:$I$15,B187-1),"")="Verified","OK","⚠ Previous stage not verified yet")))</f>
        <v/>
      </c>
    </row>
    <row r="188" customFormat="false" ht="15" hidden="false" customHeight="false" outlineLevel="0" collapsed="false">
      <c r="A188" s="25"/>
      <c r="B188" s="30"/>
      <c r="C188" s="21" t="str">
        <f aca="false">IF(B188="","",IFERROR(INDEX(Stages!$B$6:$B$15,B188),"Unknown stage"))</f>
        <v/>
      </c>
      <c r="D188" s="26"/>
      <c r="E188" s="23"/>
      <c r="F188" s="23"/>
      <c r="G188" s="23"/>
      <c r="H188" s="21" t="str">
        <f aca="false">IF(B188="","",IF(B188=1,"OK",IF(IFERROR(INDEX(Stages!$I$6:$I$15,B188-1),"")="Verified","OK","⚠ Previous stage not verified yet")))</f>
        <v/>
      </c>
    </row>
    <row r="189" customFormat="false" ht="15" hidden="false" customHeight="false" outlineLevel="0" collapsed="false">
      <c r="A189" s="25"/>
      <c r="B189" s="30"/>
      <c r="C189" s="21" t="str">
        <f aca="false">IF(B189="","",IFERROR(INDEX(Stages!$B$6:$B$15,B189),"Unknown stage"))</f>
        <v/>
      </c>
      <c r="D189" s="26"/>
      <c r="E189" s="23"/>
      <c r="F189" s="23"/>
      <c r="G189" s="23"/>
      <c r="H189" s="21" t="str">
        <f aca="false">IF(B189="","",IF(B189=1,"OK",IF(IFERROR(INDEX(Stages!$I$6:$I$15,B189-1),"")="Verified","OK","⚠ Previous stage not verified yet")))</f>
        <v/>
      </c>
    </row>
    <row r="190" customFormat="false" ht="15" hidden="false" customHeight="false" outlineLevel="0" collapsed="false">
      <c r="A190" s="25"/>
      <c r="B190" s="30"/>
      <c r="C190" s="21" t="str">
        <f aca="false">IF(B190="","",IFERROR(INDEX(Stages!$B$6:$B$15,B190),"Unknown stage"))</f>
        <v/>
      </c>
      <c r="D190" s="26"/>
      <c r="E190" s="23"/>
      <c r="F190" s="23"/>
      <c r="G190" s="23"/>
      <c r="H190" s="21" t="str">
        <f aca="false">IF(B190="","",IF(B190=1,"OK",IF(IFERROR(INDEX(Stages!$I$6:$I$15,B190-1),"")="Verified","OK","⚠ Previous stage not verified yet")))</f>
        <v/>
      </c>
    </row>
    <row r="191" customFormat="false" ht="15" hidden="false" customHeight="false" outlineLevel="0" collapsed="false">
      <c r="A191" s="25"/>
      <c r="B191" s="30"/>
      <c r="C191" s="21" t="str">
        <f aca="false">IF(B191="","",IFERROR(INDEX(Stages!$B$6:$B$15,B191),"Unknown stage"))</f>
        <v/>
      </c>
      <c r="D191" s="26"/>
      <c r="E191" s="23"/>
      <c r="F191" s="23"/>
      <c r="G191" s="23"/>
      <c r="H191" s="21" t="str">
        <f aca="false">IF(B191="","",IF(B191=1,"OK",IF(IFERROR(INDEX(Stages!$I$6:$I$15,B191-1),"")="Verified","OK","⚠ Previous stage not verified yet")))</f>
        <v/>
      </c>
    </row>
    <row r="192" customFormat="false" ht="15" hidden="false" customHeight="false" outlineLevel="0" collapsed="false">
      <c r="A192" s="25"/>
      <c r="B192" s="30"/>
      <c r="C192" s="21" t="str">
        <f aca="false">IF(B192="","",IFERROR(INDEX(Stages!$B$6:$B$15,B192),"Unknown stage"))</f>
        <v/>
      </c>
      <c r="D192" s="26"/>
      <c r="E192" s="23"/>
      <c r="F192" s="23"/>
      <c r="G192" s="23"/>
      <c r="H192" s="21" t="str">
        <f aca="false">IF(B192="","",IF(B192=1,"OK",IF(IFERROR(INDEX(Stages!$I$6:$I$15,B192-1),"")="Verified","OK","⚠ Previous stage not verified yet")))</f>
        <v/>
      </c>
    </row>
    <row r="193" customFormat="false" ht="15" hidden="false" customHeight="false" outlineLevel="0" collapsed="false">
      <c r="A193" s="25"/>
      <c r="B193" s="30"/>
      <c r="C193" s="21" t="str">
        <f aca="false">IF(B193="","",IFERROR(INDEX(Stages!$B$6:$B$15,B193),"Unknown stage"))</f>
        <v/>
      </c>
      <c r="D193" s="26"/>
      <c r="E193" s="23"/>
      <c r="F193" s="23"/>
      <c r="G193" s="23"/>
      <c r="H193" s="21" t="str">
        <f aca="false">IF(B193="","",IF(B193=1,"OK",IF(IFERROR(INDEX(Stages!$I$6:$I$15,B193-1),"")="Verified","OK","⚠ Previous stage not verified yet")))</f>
        <v/>
      </c>
    </row>
    <row r="194" customFormat="false" ht="15" hidden="false" customHeight="false" outlineLevel="0" collapsed="false">
      <c r="A194" s="25"/>
      <c r="B194" s="30"/>
      <c r="C194" s="21" t="str">
        <f aca="false">IF(B194="","",IFERROR(INDEX(Stages!$B$6:$B$15,B194),"Unknown stage"))</f>
        <v/>
      </c>
      <c r="D194" s="26"/>
      <c r="E194" s="23"/>
      <c r="F194" s="23"/>
      <c r="G194" s="23"/>
      <c r="H194" s="21" t="str">
        <f aca="false">IF(B194="","",IF(B194=1,"OK",IF(IFERROR(INDEX(Stages!$I$6:$I$15,B194-1),"")="Verified","OK","⚠ Previous stage not verified yet")))</f>
        <v/>
      </c>
    </row>
    <row r="195" customFormat="false" ht="15" hidden="false" customHeight="false" outlineLevel="0" collapsed="false">
      <c r="A195" s="25"/>
      <c r="B195" s="30"/>
      <c r="C195" s="21" t="str">
        <f aca="false">IF(B195="","",IFERROR(INDEX(Stages!$B$6:$B$15,B195),"Unknown stage"))</f>
        <v/>
      </c>
      <c r="D195" s="26"/>
      <c r="E195" s="23"/>
      <c r="F195" s="23"/>
      <c r="G195" s="23"/>
      <c r="H195" s="21" t="str">
        <f aca="false">IF(B195="","",IF(B195=1,"OK",IF(IFERROR(INDEX(Stages!$I$6:$I$15,B195-1),"")="Verified","OK","⚠ Previous stage not verified yet")))</f>
        <v/>
      </c>
    </row>
    <row r="196" customFormat="false" ht="15" hidden="false" customHeight="false" outlineLevel="0" collapsed="false">
      <c r="A196" s="25"/>
      <c r="B196" s="30"/>
      <c r="C196" s="21" t="str">
        <f aca="false">IF(B196="","",IFERROR(INDEX(Stages!$B$6:$B$15,B196),"Unknown stage"))</f>
        <v/>
      </c>
      <c r="D196" s="26"/>
      <c r="E196" s="23"/>
      <c r="F196" s="23"/>
      <c r="G196" s="23"/>
      <c r="H196" s="21" t="str">
        <f aca="false">IF(B196="","",IF(B196=1,"OK",IF(IFERROR(INDEX(Stages!$I$6:$I$15,B196-1),"")="Verified","OK","⚠ Previous stage not verified yet")))</f>
        <v/>
      </c>
    </row>
    <row r="197" customFormat="false" ht="15" hidden="false" customHeight="false" outlineLevel="0" collapsed="false">
      <c r="A197" s="25"/>
      <c r="B197" s="30"/>
      <c r="C197" s="21" t="str">
        <f aca="false">IF(B197="","",IFERROR(INDEX(Stages!$B$6:$B$15,B197),"Unknown stage"))</f>
        <v/>
      </c>
      <c r="D197" s="26"/>
      <c r="E197" s="23"/>
      <c r="F197" s="23"/>
      <c r="G197" s="23"/>
      <c r="H197" s="21" t="str">
        <f aca="false">IF(B197="","",IF(B197=1,"OK",IF(IFERROR(INDEX(Stages!$I$6:$I$15,B197-1),"")="Verified","OK","⚠ Previous stage not verified yet")))</f>
        <v/>
      </c>
    </row>
    <row r="198" customFormat="false" ht="15" hidden="false" customHeight="false" outlineLevel="0" collapsed="false">
      <c r="A198" s="25"/>
      <c r="B198" s="30"/>
      <c r="C198" s="21" t="str">
        <f aca="false">IF(B198="","",IFERROR(INDEX(Stages!$B$6:$B$15,B198),"Unknown stage"))</f>
        <v/>
      </c>
      <c r="D198" s="26"/>
      <c r="E198" s="23"/>
      <c r="F198" s="23"/>
      <c r="G198" s="23"/>
      <c r="H198" s="21" t="str">
        <f aca="false">IF(B198="","",IF(B198=1,"OK",IF(IFERROR(INDEX(Stages!$I$6:$I$15,B198-1),"")="Verified","OK","⚠ Previous stage not verified yet")))</f>
        <v/>
      </c>
    </row>
    <row r="199" customFormat="false" ht="15" hidden="false" customHeight="false" outlineLevel="0" collapsed="false">
      <c r="A199" s="25"/>
      <c r="B199" s="30"/>
      <c r="C199" s="21" t="str">
        <f aca="false">IF(B199="","",IFERROR(INDEX(Stages!$B$6:$B$15,B199),"Unknown stage"))</f>
        <v/>
      </c>
      <c r="D199" s="26"/>
      <c r="E199" s="23"/>
      <c r="F199" s="23"/>
      <c r="G199" s="23"/>
      <c r="H199" s="21" t="str">
        <f aca="false">IF(B199="","",IF(B199=1,"OK",IF(IFERROR(INDEX(Stages!$I$6:$I$15,B199-1),"")="Verified","OK","⚠ Previous stage not verified yet")))</f>
        <v/>
      </c>
    </row>
    <row r="200" customFormat="false" ht="15" hidden="false" customHeight="false" outlineLevel="0" collapsed="false">
      <c r="A200" s="25"/>
      <c r="B200" s="30"/>
      <c r="C200" s="21" t="str">
        <f aca="false">IF(B200="","",IFERROR(INDEX(Stages!$B$6:$B$15,B200),"Unknown stage"))</f>
        <v/>
      </c>
      <c r="D200" s="26"/>
      <c r="E200" s="23"/>
      <c r="F200" s="23"/>
      <c r="G200" s="23"/>
      <c r="H200" s="21" t="str">
        <f aca="false">IF(B200="","",IF(B200=1,"OK",IF(IFERROR(INDEX(Stages!$I$6:$I$15,B200-1),"")="Verified","OK","⚠ Previous stage not verified yet")))</f>
        <v/>
      </c>
    </row>
    <row r="201" customFormat="false" ht="15" hidden="false" customHeight="false" outlineLevel="0" collapsed="false">
      <c r="A201" s="25"/>
      <c r="B201" s="30"/>
      <c r="C201" s="21" t="str">
        <f aca="false">IF(B201="","",IFERROR(INDEX(Stages!$B$6:$B$15,B201),"Unknown stage"))</f>
        <v/>
      </c>
      <c r="D201" s="26"/>
      <c r="E201" s="23"/>
      <c r="F201" s="23"/>
      <c r="G201" s="23"/>
      <c r="H201" s="21" t="str">
        <f aca="false">IF(B201="","",IF(B201=1,"OK",IF(IFERROR(INDEX(Stages!$I$6:$I$15,B201-1),"")="Verified","OK","⚠ Previous stage not verified yet")))</f>
        <v/>
      </c>
    </row>
    <row r="202" customFormat="false" ht="15" hidden="false" customHeight="false" outlineLevel="0" collapsed="false">
      <c r="A202" s="25"/>
      <c r="B202" s="30"/>
      <c r="C202" s="21" t="str">
        <f aca="false">IF(B202="","",IFERROR(INDEX(Stages!$B$6:$B$15,B202),"Unknown stage"))</f>
        <v/>
      </c>
      <c r="D202" s="26"/>
      <c r="E202" s="23"/>
      <c r="F202" s="23"/>
      <c r="G202" s="23"/>
      <c r="H202" s="21" t="str">
        <f aca="false">IF(B202="","",IF(B202=1,"OK",IF(IFERROR(INDEX(Stages!$I$6:$I$15,B202-1),"")="Verified","OK","⚠ Previous stage not verified yet")))</f>
        <v/>
      </c>
    </row>
    <row r="203" customFormat="false" ht="15" hidden="false" customHeight="false" outlineLevel="0" collapsed="false">
      <c r="A203" s="25"/>
      <c r="B203" s="30"/>
      <c r="C203" s="21" t="str">
        <f aca="false">IF(B203="","",IFERROR(INDEX(Stages!$B$6:$B$15,B203),"Unknown stage"))</f>
        <v/>
      </c>
      <c r="D203" s="26"/>
      <c r="E203" s="23"/>
      <c r="F203" s="23"/>
      <c r="G203" s="23"/>
      <c r="H203" s="21" t="str">
        <f aca="false">IF(B203="","",IF(B203=1,"OK",IF(IFERROR(INDEX(Stages!$I$6:$I$15,B203-1),"")="Verified","OK","⚠ Previous stage not verified yet")))</f>
        <v/>
      </c>
    </row>
    <row r="204" customFormat="false" ht="15" hidden="false" customHeight="false" outlineLevel="0" collapsed="false">
      <c r="A204" s="25"/>
      <c r="B204" s="30"/>
      <c r="C204" s="21" t="str">
        <f aca="false">IF(B204="","",IFERROR(INDEX(Stages!$B$6:$B$15,B204),"Unknown stage"))</f>
        <v/>
      </c>
      <c r="D204" s="26"/>
      <c r="E204" s="23"/>
      <c r="F204" s="23"/>
      <c r="G204" s="23"/>
      <c r="H204" s="21" t="str">
        <f aca="false">IF(B204="","",IF(B204=1,"OK",IF(IFERROR(INDEX(Stages!$I$6:$I$15,B204-1),"")="Verified","OK","⚠ Previous stage not verified yet")))</f>
        <v/>
      </c>
    </row>
    <row r="205" customFormat="false" ht="15" hidden="false" customHeight="false" outlineLevel="0" collapsed="false">
      <c r="A205" s="25"/>
      <c r="B205" s="30"/>
      <c r="C205" s="21" t="str">
        <f aca="false">IF(B205="","",IFERROR(INDEX(Stages!$B$6:$B$15,B205),"Unknown stage"))</f>
        <v/>
      </c>
      <c r="D205" s="26"/>
      <c r="E205" s="23"/>
      <c r="F205" s="23"/>
      <c r="G205" s="23"/>
      <c r="H205" s="21" t="str">
        <f aca="false">IF(B205="","",IF(B205=1,"OK",IF(IFERROR(INDEX(Stages!$I$6:$I$15,B205-1),"")="Verified","OK","⚠ Previous stage not verified yet")))</f>
        <v/>
      </c>
    </row>
  </sheetData>
  <conditionalFormatting sqref="H6:H205">
    <cfRule type="expression" priority="2" aboveAverage="0" equalAverage="0" bottom="0" percent="0" rank="0" text="" dxfId="2">
      <formula>LEFT($H6,1)="⚠"</formula>
    </cfRule>
    <cfRule type="expression" priority="3" aboveAverage="0" equalAverage="0" bottom="0" percent="0" rank="0" text="" dxfId="6">
      <formula>$H6="OK"</formula>
    </cfRule>
  </conditionalFormatting>
  <dataValidations count="2">
    <dataValidation allowBlank="true" error="Enter a stage number from 1 to 10." errorStyle="stop" errorTitle="Stage number" operator="between" showDropDown="false" showErrorMessage="true" showInputMessage="false" sqref="B6:B205" type="whole">
      <formula1>1</formula1>
      <formula2>10</formula2>
    </dataValidation>
    <dataValidation allowBlank="true" errorStyle="stop" operator="between" showDropDown="false" showErrorMessage="false" showInputMessage="false" sqref="E6:E205" type="list">
      <formula1>"Mukuru,WorldRemit,Bank transfer,EcoCash,InnBucks,Cash via family,Paid supplier directly,Other"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5"/>
  </cols>
  <sheetData>
    <row r="1" customFormat="false" ht="22.0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5" customFormat="false" ht="30" hidden="false" customHeight="true" outlineLevel="0" collapsed="false">
      <c r="A5" s="18" t="s">
        <v>90</v>
      </c>
      <c r="B5" s="18" t="s">
        <v>49</v>
      </c>
      <c r="C5" s="18" t="s">
        <v>99</v>
      </c>
      <c r="D5" s="18" t="s">
        <v>100</v>
      </c>
      <c r="E5" s="18" t="s">
        <v>101</v>
      </c>
      <c r="F5" s="18" t="s">
        <v>102</v>
      </c>
      <c r="G5" s="18" t="s">
        <v>103</v>
      </c>
    </row>
    <row r="6" customFormat="false" ht="15" hidden="false" customHeight="false" outlineLevel="0" collapsed="false">
      <c r="A6" s="30" t="n">
        <v>1</v>
      </c>
      <c r="B6" s="21" t="str">
        <f aca="false">IF(A6="","",IFERROR(INDEX(Stages!$B$6:$B$15,A6),""))</f>
        <v>Foundation &amp; footings</v>
      </c>
      <c r="C6" s="31" t="s">
        <v>104</v>
      </c>
      <c r="D6" s="23" t="s">
        <v>105</v>
      </c>
      <c r="E6" s="25"/>
      <c r="F6" s="23"/>
      <c r="G6" s="32" t="n">
        <f aca="false">IF(AND(A6=WhatsApp!$C$5,C6&lt;&gt;"",D6&lt;&gt;"Yes"),COUNTIFS($A$6:A6,WhatsApp!$C$5,$C$6:C6,"&lt;&gt;",$D$6:D6,"&lt;&gt;Yes"),"")</f>
        <v>1</v>
      </c>
    </row>
    <row r="7" customFormat="false" ht="15" hidden="false" customHeight="false" outlineLevel="0" collapsed="false">
      <c r="A7" s="30" t="n">
        <v>1</v>
      </c>
      <c r="B7" s="21" t="str">
        <f aca="false">IF(A7="","",IFERROR(INDEX(Stages!$B$6:$B$15,A7),""))</f>
        <v>Foundation &amp; footings</v>
      </c>
      <c r="C7" s="31" t="s">
        <v>106</v>
      </c>
      <c r="D7" s="23" t="s">
        <v>105</v>
      </c>
      <c r="E7" s="25"/>
      <c r="F7" s="23"/>
      <c r="G7" s="32" t="n">
        <f aca="false">IF(AND(A7=WhatsApp!$C$5,C7&lt;&gt;"",D7&lt;&gt;"Yes"),COUNTIFS($A$6:A7,WhatsApp!$C$5,$C$6:C7,"&lt;&gt;",$D$6:D7,"&lt;&gt;Yes"),"")</f>
        <v>2</v>
      </c>
    </row>
    <row r="8" customFormat="false" ht="15" hidden="false" customHeight="false" outlineLevel="0" collapsed="false">
      <c r="A8" s="30" t="n">
        <v>1</v>
      </c>
      <c r="B8" s="21" t="str">
        <f aca="false">IF(A8="","",IFERROR(INDEX(Stages!$B$6:$B$15,A8),""))</f>
        <v>Foundation &amp; footings</v>
      </c>
      <c r="C8" s="31" t="s">
        <v>107</v>
      </c>
      <c r="D8" s="23" t="s">
        <v>105</v>
      </c>
      <c r="E8" s="25"/>
      <c r="F8" s="23"/>
      <c r="G8" s="32" t="n">
        <f aca="false">IF(AND(A8=WhatsApp!$C$5,C8&lt;&gt;"",D8&lt;&gt;"Yes"),COUNTIFS($A$6:A8,WhatsApp!$C$5,$C$6:C8,"&lt;&gt;",$D$6:D8,"&lt;&gt;Yes"),"")</f>
        <v>3</v>
      </c>
    </row>
    <row r="9" customFormat="false" ht="15" hidden="false" customHeight="false" outlineLevel="0" collapsed="false">
      <c r="A9" s="30" t="n">
        <v>1</v>
      </c>
      <c r="B9" s="21" t="str">
        <f aca="false">IF(A9="","",IFERROR(INDEX(Stages!$B$6:$B$15,A9),""))</f>
        <v>Foundation &amp; footings</v>
      </c>
      <c r="C9" s="31" t="s">
        <v>108</v>
      </c>
      <c r="D9" s="23" t="s">
        <v>105</v>
      </c>
      <c r="E9" s="25"/>
      <c r="F9" s="23"/>
      <c r="G9" s="32" t="n">
        <f aca="false">IF(AND(A9=WhatsApp!$C$5,C9&lt;&gt;"",D9&lt;&gt;"Yes"),COUNTIFS($A$6:A9,WhatsApp!$C$5,$C$6:C9,"&lt;&gt;",$D$6:D9,"&lt;&gt;Yes"),"")</f>
        <v>4</v>
      </c>
    </row>
    <row r="10" customFormat="false" ht="15" hidden="false" customHeight="false" outlineLevel="0" collapsed="false">
      <c r="A10" s="30" t="n">
        <v>1</v>
      </c>
      <c r="B10" s="21" t="str">
        <f aca="false">IF(A10="","",IFERROR(INDEX(Stages!$B$6:$B$15,A10),""))</f>
        <v>Foundation &amp; footings</v>
      </c>
      <c r="C10" s="31" t="s">
        <v>109</v>
      </c>
      <c r="D10" s="23" t="s">
        <v>105</v>
      </c>
      <c r="E10" s="25"/>
      <c r="F10" s="23"/>
      <c r="G10" s="32" t="n">
        <f aca="false">IF(AND(A10=WhatsApp!$C$5,C10&lt;&gt;"",D10&lt;&gt;"Yes"),COUNTIFS($A$6:A10,WhatsApp!$C$5,$C$6:C10,"&lt;&gt;",$D$6:D10,"&lt;&gt;Yes"),"")</f>
        <v>5</v>
      </c>
    </row>
    <row r="11" customFormat="false" ht="15" hidden="false" customHeight="false" outlineLevel="0" collapsed="false">
      <c r="A11" s="30" t="n">
        <v>1</v>
      </c>
      <c r="B11" s="21" t="str">
        <f aca="false">IF(A11="","",IFERROR(INDEX(Stages!$B$6:$B$15,A11),""))</f>
        <v>Foundation &amp; footings</v>
      </c>
      <c r="C11" s="31" t="s">
        <v>110</v>
      </c>
      <c r="D11" s="23" t="s">
        <v>105</v>
      </c>
      <c r="E11" s="25"/>
      <c r="F11" s="23"/>
      <c r="G11" s="32" t="n">
        <f aca="false">IF(AND(A11=WhatsApp!$C$5,C11&lt;&gt;"",D11&lt;&gt;"Yes"),COUNTIFS($A$6:A11,WhatsApp!$C$5,$C$6:C11,"&lt;&gt;",$D$6:D11,"&lt;&gt;Yes"),"")</f>
        <v>6</v>
      </c>
    </row>
    <row r="12" customFormat="false" ht="15" hidden="false" customHeight="false" outlineLevel="0" collapsed="false">
      <c r="A12" s="30" t="n">
        <v>2</v>
      </c>
      <c r="B12" s="21" t="str">
        <f aca="false">IF(A12="","",IFERROR(INDEX(Stages!$B$6:$B$15,A12),""))</f>
        <v>Slab level (DPC &amp; floor slab)</v>
      </c>
      <c r="C12" s="31" t="s">
        <v>111</v>
      </c>
      <c r="D12" s="23" t="s">
        <v>105</v>
      </c>
      <c r="E12" s="25"/>
      <c r="F12" s="23"/>
      <c r="G12" s="32" t="str">
        <f aca="false">IF(AND(A12=WhatsApp!$C$5,C12&lt;&gt;"",D12&lt;&gt;"Yes"),COUNTIFS($A$6:A12,WhatsApp!$C$5,$C$6:C12,"&lt;&gt;",$D$6:D12,"&lt;&gt;Yes"),"")</f>
        <v/>
      </c>
    </row>
    <row r="13" customFormat="false" ht="15" hidden="false" customHeight="false" outlineLevel="0" collapsed="false">
      <c r="A13" s="30" t="n">
        <v>2</v>
      </c>
      <c r="B13" s="21" t="str">
        <f aca="false">IF(A13="","",IFERROR(INDEX(Stages!$B$6:$B$15,A13),""))</f>
        <v>Slab level (DPC &amp; floor slab)</v>
      </c>
      <c r="C13" s="31" t="s">
        <v>112</v>
      </c>
      <c r="D13" s="23" t="s">
        <v>105</v>
      </c>
      <c r="E13" s="25"/>
      <c r="F13" s="23"/>
      <c r="G13" s="32" t="str">
        <f aca="false">IF(AND(A13=WhatsApp!$C$5,C13&lt;&gt;"",D13&lt;&gt;"Yes"),COUNTIFS($A$6:A13,WhatsApp!$C$5,$C$6:C13,"&lt;&gt;",$D$6:D13,"&lt;&gt;Yes"),"")</f>
        <v/>
      </c>
    </row>
    <row r="14" customFormat="false" ht="15" hidden="false" customHeight="false" outlineLevel="0" collapsed="false">
      <c r="A14" s="30" t="n">
        <v>2</v>
      </c>
      <c r="B14" s="21" t="str">
        <f aca="false">IF(A14="","",IFERROR(INDEX(Stages!$B$6:$B$15,A14),""))</f>
        <v>Slab level (DPC &amp; floor slab)</v>
      </c>
      <c r="C14" s="31" t="s">
        <v>113</v>
      </c>
      <c r="D14" s="23" t="s">
        <v>105</v>
      </c>
      <c r="E14" s="25"/>
      <c r="F14" s="23"/>
      <c r="G14" s="32" t="str">
        <f aca="false">IF(AND(A14=WhatsApp!$C$5,C14&lt;&gt;"",D14&lt;&gt;"Yes"),COUNTIFS($A$6:A14,WhatsApp!$C$5,$C$6:C14,"&lt;&gt;",$D$6:D14,"&lt;&gt;Yes"),"")</f>
        <v/>
      </c>
    </row>
    <row r="15" customFormat="false" ht="15" hidden="false" customHeight="false" outlineLevel="0" collapsed="false">
      <c r="A15" s="30" t="n">
        <v>2</v>
      </c>
      <c r="B15" s="21" t="str">
        <f aca="false">IF(A15="","",IFERROR(INDEX(Stages!$B$6:$B$15,A15),""))</f>
        <v>Slab level (DPC &amp; floor slab)</v>
      </c>
      <c r="C15" s="31" t="s">
        <v>114</v>
      </c>
      <c r="D15" s="23" t="s">
        <v>105</v>
      </c>
      <c r="E15" s="25"/>
      <c r="F15" s="23"/>
      <c r="G15" s="32" t="str">
        <f aca="false">IF(AND(A15=WhatsApp!$C$5,C15&lt;&gt;"",D15&lt;&gt;"Yes"),COUNTIFS($A$6:A15,WhatsApp!$C$5,$C$6:C15,"&lt;&gt;",$D$6:D15,"&lt;&gt;Yes"),"")</f>
        <v/>
      </c>
    </row>
    <row r="16" customFormat="false" ht="15" hidden="false" customHeight="false" outlineLevel="0" collapsed="false">
      <c r="A16" s="30" t="n">
        <v>2</v>
      </c>
      <c r="B16" s="21" t="str">
        <f aca="false">IF(A16="","",IFERROR(INDEX(Stages!$B$6:$B$15,A16),""))</f>
        <v>Slab level (DPC &amp; floor slab)</v>
      </c>
      <c r="C16" s="31" t="s">
        <v>115</v>
      </c>
      <c r="D16" s="23" t="s">
        <v>105</v>
      </c>
      <c r="E16" s="25"/>
      <c r="F16" s="23"/>
      <c r="G16" s="32" t="str">
        <f aca="false">IF(AND(A16=WhatsApp!$C$5,C16&lt;&gt;"",D16&lt;&gt;"Yes"),COUNTIFS($A$6:A16,WhatsApp!$C$5,$C$6:C16,"&lt;&gt;",$D$6:D16,"&lt;&gt;Yes"),"")</f>
        <v/>
      </c>
    </row>
    <row r="17" customFormat="false" ht="15" hidden="false" customHeight="false" outlineLevel="0" collapsed="false">
      <c r="A17" s="30" t="n">
        <v>2</v>
      </c>
      <c r="B17" s="21" t="str">
        <f aca="false">IF(A17="","",IFERROR(INDEX(Stages!$B$6:$B$15,A17),""))</f>
        <v>Slab level (DPC &amp; floor slab)</v>
      </c>
      <c r="C17" s="31" t="s">
        <v>116</v>
      </c>
      <c r="D17" s="23" t="s">
        <v>105</v>
      </c>
      <c r="E17" s="25"/>
      <c r="F17" s="23"/>
      <c r="G17" s="32" t="str">
        <f aca="false">IF(AND(A17=WhatsApp!$C$5,C17&lt;&gt;"",D17&lt;&gt;"Yes"),COUNTIFS($A$6:A17,WhatsApp!$C$5,$C$6:C17,"&lt;&gt;",$D$6:D17,"&lt;&gt;Yes"),"")</f>
        <v/>
      </c>
    </row>
    <row r="18" customFormat="false" ht="15" hidden="false" customHeight="false" outlineLevel="0" collapsed="false">
      <c r="A18" s="30" t="n">
        <v>3</v>
      </c>
      <c r="B18" s="21" t="str">
        <f aca="false">IF(A18="","",IFERROR(INDEX(Stages!$B$6:$B$15,A18),""))</f>
        <v>Window level</v>
      </c>
      <c r="C18" s="31" t="s">
        <v>117</v>
      </c>
      <c r="D18" s="23" t="s">
        <v>105</v>
      </c>
      <c r="E18" s="25"/>
      <c r="F18" s="23"/>
      <c r="G18" s="32" t="str">
        <f aca="false">IF(AND(A18=WhatsApp!$C$5,C18&lt;&gt;"",D18&lt;&gt;"Yes"),COUNTIFS($A$6:A18,WhatsApp!$C$5,$C$6:C18,"&lt;&gt;",$D$6:D18,"&lt;&gt;Yes"),"")</f>
        <v/>
      </c>
    </row>
    <row r="19" customFormat="false" ht="15" hidden="false" customHeight="false" outlineLevel="0" collapsed="false">
      <c r="A19" s="30" t="n">
        <v>3</v>
      </c>
      <c r="B19" s="21" t="str">
        <f aca="false">IF(A19="","",IFERROR(INDEX(Stages!$B$6:$B$15,A19),""))</f>
        <v>Window level</v>
      </c>
      <c r="C19" s="31" t="s">
        <v>118</v>
      </c>
      <c r="D19" s="23" t="s">
        <v>105</v>
      </c>
      <c r="E19" s="25"/>
      <c r="F19" s="23"/>
      <c r="G19" s="32" t="str">
        <f aca="false">IF(AND(A19=WhatsApp!$C$5,C19&lt;&gt;"",D19&lt;&gt;"Yes"),COUNTIFS($A$6:A19,WhatsApp!$C$5,$C$6:C19,"&lt;&gt;",$D$6:D19,"&lt;&gt;Yes"),"")</f>
        <v/>
      </c>
    </row>
    <row r="20" customFormat="false" ht="15" hidden="false" customHeight="false" outlineLevel="0" collapsed="false">
      <c r="A20" s="30" t="n">
        <v>3</v>
      </c>
      <c r="B20" s="21" t="str">
        <f aca="false">IF(A20="","",IFERROR(INDEX(Stages!$B$6:$B$15,A20),""))</f>
        <v>Window level</v>
      </c>
      <c r="C20" s="31" t="s">
        <v>119</v>
      </c>
      <c r="D20" s="23" t="s">
        <v>105</v>
      </c>
      <c r="E20" s="25"/>
      <c r="F20" s="23"/>
      <c r="G20" s="32" t="str">
        <f aca="false">IF(AND(A20=WhatsApp!$C$5,C20&lt;&gt;"",D20&lt;&gt;"Yes"),COUNTIFS($A$6:A20,WhatsApp!$C$5,$C$6:C20,"&lt;&gt;",$D$6:D20,"&lt;&gt;Yes"),"")</f>
        <v/>
      </c>
    </row>
    <row r="21" customFormat="false" ht="15" hidden="false" customHeight="false" outlineLevel="0" collapsed="false">
      <c r="A21" s="30" t="n">
        <v>3</v>
      </c>
      <c r="B21" s="21" t="str">
        <f aca="false">IF(A21="","",IFERROR(INDEX(Stages!$B$6:$B$15,A21),""))</f>
        <v>Window level</v>
      </c>
      <c r="C21" s="31" t="s">
        <v>120</v>
      </c>
      <c r="D21" s="23" t="s">
        <v>105</v>
      </c>
      <c r="E21" s="25"/>
      <c r="F21" s="23"/>
      <c r="G21" s="32" t="str">
        <f aca="false">IF(AND(A21=WhatsApp!$C$5,C21&lt;&gt;"",D21&lt;&gt;"Yes"),COUNTIFS($A$6:A21,WhatsApp!$C$5,$C$6:C21,"&lt;&gt;",$D$6:D21,"&lt;&gt;Yes"),"")</f>
        <v/>
      </c>
    </row>
    <row r="22" customFormat="false" ht="15" hidden="false" customHeight="false" outlineLevel="0" collapsed="false">
      <c r="A22" s="30" t="n">
        <v>3</v>
      </c>
      <c r="B22" s="21" t="str">
        <f aca="false">IF(A22="","",IFERROR(INDEX(Stages!$B$6:$B$15,A22),""))</f>
        <v>Window level</v>
      </c>
      <c r="C22" s="31" t="s">
        <v>121</v>
      </c>
      <c r="D22" s="23" t="s">
        <v>105</v>
      </c>
      <c r="E22" s="25"/>
      <c r="F22" s="23"/>
      <c r="G22" s="32" t="str">
        <f aca="false">IF(AND(A22=WhatsApp!$C$5,C22&lt;&gt;"",D22&lt;&gt;"Yes"),COUNTIFS($A$6:A22,WhatsApp!$C$5,$C$6:C22,"&lt;&gt;",$D$6:D22,"&lt;&gt;Yes"),"")</f>
        <v/>
      </c>
    </row>
    <row r="23" customFormat="false" ht="15" hidden="false" customHeight="false" outlineLevel="0" collapsed="false">
      <c r="A23" s="30" t="n">
        <v>4</v>
      </c>
      <c r="B23" s="21" t="str">
        <f aca="false">IF(A23="","",IFERROR(INDEX(Stages!$B$6:$B$15,A23),""))</f>
        <v>Roof level (lintels &amp; wall plate)</v>
      </c>
      <c r="C23" s="31" t="s">
        <v>122</v>
      </c>
      <c r="D23" s="23" t="s">
        <v>105</v>
      </c>
      <c r="E23" s="25"/>
      <c r="F23" s="23"/>
      <c r="G23" s="32" t="str">
        <f aca="false">IF(AND(A23=WhatsApp!$C$5,C23&lt;&gt;"",D23&lt;&gt;"Yes"),COUNTIFS($A$6:A23,WhatsApp!$C$5,$C$6:C23,"&lt;&gt;",$D$6:D23,"&lt;&gt;Yes"),"")</f>
        <v/>
      </c>
    </row>
    <row r="24" customFormat="false" ht="15" hidden="false" customHeight="false" outlineLevel="0" collapsed="false">
      <c r="A24" s="30" t="n">
        <v>4</v>
      </c>
      <c r="B24" s="21" t="str">
        <f aca="false">IF(A24="","",IFERROR(INDEX(Stages!$B$6:$B$15,A24),""))</f>
        <v>Roof level (lintels &amp; wall plate)</v>
      </c>
      <c r="C24" s="31" t="s">
        <v>123</v>
      </c>
      <c r="D24" s="23" t="s">
        <v>105</v>
      </c>
      <c r="E24" s="25"/>
      <c r="F24" s="23"/>
      <c r="G24" s="32" t="str">
        <f aca="false">IF(AND(A24=WhatsApp!$C$5,C24&lt;&gt;"",D24&lt;&gt;"Yes"),COUNTIFS($A$6:A24,WhatsApp!$C$5,$C$6:C24,"&lt;&gt;",$D$6:D24,"&lt;&gt;Yes"),"")</f>
        <v/>
      </c>
    </row>
    <row r="25" customFormat="false" ht="15" hidden="false" customHeight="false" outlineLevel="0" collapsed="false">
      <c r="A25" s="30" t="n">
        <v>4</v>
      </c>
      <c r="B25" s="21" t="str">
        <f aca="false">IF(A25="","",IFERROR(INDEX(Stages!$B$6:$B$15,A25),""))</f>
        <v>Roof level (lintels &amp; wall plate)</v>
      </c>
      <c r="C25" s="31" t="s">
        <v>124</v>
      </c>
      <c r="D25" s="23" t="s">
        <v>105</v>
      </c>
      <c r="E25" s="25"/>
      <c r="F25" s="23"/>
      <c r="G25" s="32" t="str">
        <f aca="false">IF(AND(A25=WhatsApp!$C$5,C25&lt;&gt;"",D25&lt;&gt;"Yes"),COUNTIFS($A$6:A25,WhatsApp!$C$5,$C$6:C25,"&lt;&gt;",$D$6:D25,"&lt;&gt;Yes"),"")</f>
        <v/>
      </c>
    </row>
    <row r="26" customFormat="false" ht="15" hidden="false" customHeight="false" outlineLevel="0" collapsed="false">
      <c r="A26" s="30" t="n">
        <v>4</v>
      </c>
      <c r="B26" s="21" t="str">
        <f aca="false">IF(A26="","",IFERROR(INDEX(Stages!$B$6:$B$15,A26),""))</f>
        <v>Roof level (lintels &amp; wall plate)</v>
      </c>
      <c r="C26" s="31" t="s">
        <v>125</v>
      </c>
      <c r="D26" s="23" t="s">
        <v>105</v>
      </c>
      <c r="E26" s="25"/>
      <c r="F26" s="23"/>
      <c r="G26" s="32" t="str">
        <f aca="false">IF(AND(A26=WhatsApp!$C$5,C26&lt;&gt;"",D26&lt;&gt;"Yes"),COUNTIFS($A$6:A26,WhatsApp!$C$5,$C$6:C26,"&lt;&gt;",$D$6:D26,"&lt;&gt;Yes"),"")</f>
        <v/>
      </c>
    </row>
    <row r="27" customFormat="false" ht="15" hidden="false" customHeight="false" outlineLevel="0" collapsed="false">
      <c r="A27" s="30" t="n">
        <v>4</v>
      </c>
      <c r="B27" s="21" t="str">
        <f aca="false">IF(A27="","",IFERROR(INDEX(Stages!$B$6:$B$15,A27),""))</f>
        <v>Roof level (lintels &amp; wall plate)</v>
      </c>
      <c r="C27" s="31" t="s">
        <v>126</v>
      </c>
      <c r="D27" s="23" t="s">
        <v>105</v>
      </c>
      <c r="E27" s="25"/>
      <c r="F27" s="23"/>
      <c r="G27" s="32" t="str">
        <f aca="false">IF(AND(A27=WhatsApp!$C$5,C27&lt;&gt;"",D27&lt;&gt;"Yes"),COUNTIFS($A$6:A27,WhatsApp!$C$5,$C$6:C27,"&lt;&gt;",$D$6:D27,"&lt;&gt;Yes"),"")</f>
        <v/>
      </c>
    </row>
    <row r="28" customFormat="false" ht="15" hidden="false" customHeight="false" outlineLevel="0" collapsed="false">
      <c r="A28" s="30" t="n">
        <v>5</v>
      </c>
      <c r="B28" s="21" t="str">
        <f aca="false">IF(A28="","",IFERROR(INDEX(Stages!$B$6:$B$15,A28),""))</f>
        <v>Roofing</v>
      </c>
      <c r="C28" s="31" t="s">
        <v>127</v>
      </c>
      <c r="D28" s="23" t="s">
        <v>105</v>
      </c>
      <c r="E28" s="25"/>
      <c r="F28" s="23"/>
      <c r="G28" s="32" t="str">
        <f aca="false">IF(AND(A28=WhatsApp!$C$5,C28&lt;&gt;"",D28&lt;&gt;"Yes"),COUNTIFS($A$6:A28,WhatsApp!$C$5,$C$6:C28,"&lt;&gt;",$D$6:D28,"&lt;&gt;Yes"),"")</f>
        <v/>
      </c>
    </row>
    <row r="29" customFormat="false" ht="15" hidden="false" customHeight="false" outlineLevel="0" collapsed="false">
      <c r="A29" s="30" t="n">
        <v>5</v>
      </c>
      <c r="B29" s="21" t="str">
        <f aca="false">IF(A29="","",IFERROR(INDEX(Stages!$B$6:$B$15,A29),""))</f>
        <v>Roofing</v>
      </c>
      <c r="C29" s="31" t="s">
        <v>128</v>
      </c>
      <c r="D29" s="23" t="s">
        <v>105</v>
      </c>
      <c r="E29" s="25"/>
      <c r="F29" s="23"/>
      <c r="G29" s="32" t="str">
        <f aca="false">IF(AND(A29=WhatsApp!$C$5,C29&lt;&gt;"",D29&lt;&gt;"Yes"),COUNTIFS($A$6:A29,WhatsApp!$C$5,$C$6:C29,"&lt;&gt;",$D$6:D29,"&lt;&gt;Yes"),"")</f>
        <v/>
      </c>
    </row>
    <row r="30" customFormat="false" ht="15" hidden="false" customHeight="false" outlineLevel="0" collapsed="false">
      <c r="A30" s="30" t="n">
        <v>5</v>
      </c>
      <c r="B30" s="21" t="str">
        <f aca="false">IF(A30="","",IFERROR(INDEX(Stages!$B$6:$B$15,A30),""))</f>
        <v>Roofing</v>
      </c>
      <c r="C30" s="31" t="s">
        <v>129</v>
      </c>
      <c r="D30" s="23" t="s">
        <v>105</v>
      </c>
      <c r="E30" s="25"/>
      <c r="F30" s="23"/>
      <c r="G30" s="32" t="str">
        <f aca="false">IF(AND(A30=WhatsApp!$C$5,C30&lt;&gt;"",D30&lt;&gt;"Yes"),COUNTIFS($A$6:A30,WhatsApp!$C$5,$C$6:C30,"&lt;&gt;",$D$6:D30,"&lt;&gt;Yes"),"")</f>
        <v/>
      </c>
    </row>
    <row r="31" customFormat="false" ht="15" hidden="false" customHeight="false" outlineLevel="0" collapsed="false">
      <c r="A31" s="30" t="n">
        <v>5</v>
      </c>
      <c r="B31" s="21" t="str">
        <f aca="false">IF(A31="","",IFERROR(INDEX(Stages!$B$6:$B$15,A31),""))</f>
        <v>Roofing</v>
      </c>
      <c r="C31" s="31" t="s">
        <v>130</v>
      </c>
      <c r="D31" s="23" t="s">
        <v>105</v>
      </c>
      <c r="E31" s="25"/>
      <c r="F31" s="23"/>
      <c r="G31" s="32" t="str">
        <f aca="false">IF(AND(A31=WhatsApp!$C$5,C31&lt;&gt;"",D31&lt;&gt;"Yes"),COUNTIFS($A$6:A31,WhatsApp!$C$5,$C$6:C31,"&lt;&gt;",$D$6:D31,"&lt;&gt;Yes"),"")</f>
        <v/>
      </c>
    </row>
    <row r="32" customFormat="false" ht="15" hidden="false" customHeight="false" outlineLevel="0" collapsed="false">
      <c r="A32" s="30" t="n">
        <v>5</v>
      </c>
      <c r="B32" s="21" t="str">
        <f aca="false">IF(A32="","",IFERROR(INDEX(Stages!$B$6:$B$15,A32),""))</f>
        <v>Roofing</v>
      </c>
      <c r="C32" s="31" t="s">
        <v>131</v>
      </c>
      <c r="D32" s="23" t="s">
        <v>105</v>
      </c>
      <c r="E32" s="25"/>
      <c r="F32" s="23"/>
      <c r="G32" s="32" t="str">
        <f aca="false">IF(AND(A32=WhatsApp!$C$5,C32&lt;&gt;"",D32&lt;&gt;"Yes"),COUNTIFS($A$6:A32,WhatsApp!$C$5,$C$6:C32,"&lt;&gt;",$D$6:D32,"&lt;&gt;Yes"),"")</f>
        <v/>
      </c>
    </row>
    <row r="33" customFormat="false" ht="15" hidden="false" customHeight="false" outlineLevel="0" collapsed="false">
      <c r="A33" s="30" t="n">
        <v>6</v>
      </c>
      <c r="B33" s="21" t="str">
        <f aca="false">IF(A33="","",IFERROR(INDEX(Stages!$B$6:$B$15,A33),""))</f>
        <v>Plumbing &amp; electrical (first fix)</v>
      </c>
      <c r="C33" s="31" t="s">
        <v>132</v>
      </c>
      <c r="D33" s="23" t="s">
        <v>105</v>
      </c>
      <c r="E33" s="25"/>
      <c r="F33" s="23"/>
      <c r="G33" s="32" t="str">
        <f aca="false">IF(AND(A33=WhatsApp!$C$5,C33&lt;&gt;"",D33&lt;&gt;"Yes"),COUNTIFS($A$6:A33,WhatsApp!$C$5,$C$6:C33,"&lt;&gt;",$D$6:D33,"&lt;&gt;Yes"),"")</f>
        <v/>
      </c>
    </row>
    <row r="34" customFormat="false" ht="15" hidden="false" customHeight="false" outlineLevel="0" collapsed="false">
      <c r="A34" s="30" t="n">
        <v>6</v>
      </c>
      <c r="B34" s="21" t="str">
        <f aca="false">IF(A34="","",IFERROR(INDEX(Stages!$B$6:$B$15,A34),""))</f>
        <v>Plumbing &amp; electrical (first fix)</v>
      </c>
      <c r="C34" s="31" t="s">
        <v>133</v>
      </c>
      <c r="D34" s="23" t="s">
        <v>105</v>
      </c>
      <c r="E34" s="25"/>
      <c r="F34" s="23"/>
      <c r="G34" s="32" t="str">
        <f aca="false">IF(AND(A34=WhatsApp!$C$5,C34&lt;&gt;"",D34&lt;&gt;"Yes"),COUNTIFS($A$6:A34,WhatsApp!$C$5,$C$6:C34,"&lt;&gt;",$D$6:D34,"&lt;&gt;Yes"),"")</f>
        <v/>
      </c>
    </row>
    <row r="35" customFormat="false" ht="15" hidden="false" customHeight="false" outlineLevel="0" collapsed="false">
      <c r="A35" s="30" t="n">
        <v>6</v>
      </c>
      <c r="B35" s="21" t="str">
        <f aca="false">IF(A35="","",IFERROR(INDEX(Stages!$B$6:$B$15,A35),""))</f>
        <v>Plumbing &amp; electrical (first fix)</v>
      </c>
      <c r="C35" s="31" t="s">
        <v>134</v>
      </c>
      <c r="D35" s="23" t="s">
        <v>105</v>
      </c>
      <c r="E35" s="25"/>
      <c r="F35" s="23"/>
      <c r="G35" s="32" t="str">
        <f aca="false">IF(AND(A35=WhatsApp!$C$5,C35&lt;&gt;"",D35&lt;&gt;"Yes"),COUNTIFS($A$6:A35,WhatsApp!$C$5,$C$6:C35,"&lt;&gt;",$D$6:D35,"&lt;&gt;Yes"),"")</f>
        <v/>
      </c>
    </row>
    <row r="36" customFormat="false" ht="15" hidden="false" customHeight="false" outlineLevel="0" collapsed="false">
      <c r="A36" s="30" t="n">
        <v>6</v>
      </c>
      <c r="B36" s="21" t="str">
        <f aca="false">IF(A36="","",IFERROR(INDEX(Stages!$B$6:$B$15,A36),""))</f>
        <v>Plumbing &amp; electrical (first fix)</v>
      </c>
      <c r="C36" s="31" t="s">
        <v>135</v>
      </c>
      <c r="D36" s="23" t="s">
        <v>105</v>
      </c>
      <c r="E36" s="25"/>
      <c r="F36" s="23"/>
      <c r="G36" s="32" t="str">
        <f aca="false">IF(AND(A36=WhatsApp!$C$5,C36&lt;&gt;"",D36&lt;&gt;"Yes"),COUNTIFS($A$6:A36,WhatsApp!$C$5,$C$6:C36,"&lt;&gt;",$D$6:D36,"&lt;&gt;Yes"),"")</f>
        <v/>
      </c>
    </row>
    <row r="37" customFormat="false" ht="15" hidden="false" customHeight="false" outlineLevel="0" collapsed="false">
      <c r="A37" s="30" t="n">
        <v>6</v>
      </c>
      <c r="B37" s="21" t="str">
        <f aca="false">IF(A37="","",IFERROR(INDEX(Stages!$B$6:$B$15,A37),""))</f>
        <v>Plumbing &amp; electrical (first fix)</v>
      </c>
      <c r="C37" s="31" t="s">
        <v>136</v>
      </c>
      <c r="D37" s="23" t="s">
        <v>105</v>
      </c>
      <c r="E37" s="25"/>
      <c r="F37" s="23"/>
      <c r="G37" s="32" t="str">
        <f aca="false">IF(AND(A37=WhatsApp!$C$5,C37&lt;&gt;"",D37&lt;&gt;"Yes"),COUNTIFS($A$6:A37,WhatsApp!$C$5,$C$6:C37,"&lt;&gt;",$D$6:D37,"&lt;&gt;Yes"),"")</f>
        <v/>
      </c>
    </row>
    <row r="38" customFormat="false" ht="15" hidden="false" customHeight="false" outlineLevel="0" collapsed="false">
      <c r="A38" s="30" t="n">
        <v>7</v>
      </c>
      <c r="B38" s="21" t="str">
        <f aca="false">IF(A38="","",IFERROR(INDEX(Stages!$B$6:$B$15,A38),""))</f>
        <v>Plaster &amp; ceilings</v>
      </c>
      <c r="C38" s="31" t="s">
        <v>137</v>
      </c>
      <c r="D38" s="23" t="s">
        <v>105</v>
      </c>
      <c r="E38" s="25"/>
      <c r="F38" s="23"/>
      <c r="G38" s="32" t="str">
        <f aca="false">IF(AND(A38=WhatsApp!$C$5,C38&lt;&gt;"",D38&lt;&gt;"Yes"),COUNTIFS($A$6:A38,WhatsApp!$C$5,$C$6:C38,"&lt;&gt;",$D$6:D38,"&lt;&gt;Yes"),"")</f>
        <v/>
      </c>
    </row>
    <row r="39" customFormat="false" ht="15" hidden="false" customHeight="false" outlineLevel="0" collapsed="false">
      <c r="A39" s="30" t="n">
        <v>7</v>
      </c>
      <c r="B39" s="21" t="str">
        <f aca="false">IF(A39="","",IFERROR(INDEX(Stages!$B$6:$B$15,A39),""))</f>
        <v>Plaster &amp; ceilings</v>
      </c>
      <c r="C39" s="31" t="s">
        <v>138</v>
      </c>
      <c r="D39" s="23" t="s">
        <v>105</v>
      </c>
      <c r="E39" s="25"/>
      <c r="F39" s="23"/>
      <c r="G39" s="32" t="str">
        <f aca="false">IF(AND(A39=WhatsApp!$C$5,C39&lt;&gt;"",D39&lt;&gt;"Yes"),COUNTIFS($A$6:A39,WhatsApp!$C$5,$C$6:C39,"&lt;&gt;",$D$6:D39,"&lt;&gt;Yes"),"")</f>
        <v/>
      </c>
    </row>
    <row r="40" customFormat="false" ht="15" hidden="false" customHeight="false" outlineLevel="0" collapsed="false">
      <c r="A40" s="30" t="n">
        <v>7</v>
      </c>
      <c r="B40" s="21" t="str">
        <f aca="false">IF(A40="","",IFERROR(INDEX(Stages!$B$6:$B$15,A40),""))</f>
        <v>Plaster &amp; ceilings</v>
      </c>
      <c r="C40" s="31" t="s">
        <v>139</v>
      </c>
      <c r="D40" s="23" t="s">
        <v>105</v>
      </c>
      <c r="E40" s="25"/>
      <c r="F40" s="23"/>
      <c r="G40" s="32" t="str">
        <f aca="false">IF(AND(A40=WhatsApp!$C$5,C40&lt;&gt;"",D40&lt;&gt;"Yes"),COUNTIFS($A$6:A40,WhatsApp!$C$5,$C$6:C40,"&lt;&gt;",$D$6:D40,"&lt;&gt;Yes"),"")</f>
        <v/>
      </c>
    </row>
    <row r="41" customFormat="false" ht="15" hidden="false" customHeight="false" outlineLevel="0" collapsed="false">
      <c r="A41" s="30" t="n">
        <v>7</v>
      </c>
      <c r="B41" s="21" t="str">
        <f aca="false">IF(A41="","",IFERROR(INDEX(Stages!$B$6:$B$15,A41),""))</f>
        <v>Plaster &amp; ceilings</v>
      </c>
      <c r="C41" s="31" t="s">
        <v>140</v>
      </c>
      <c r="D41" s="23" t="s">
        <v>105</v>
      </c>
      <c r="E41" s="25"/>
      <c r="F41" s="23"/>
      <c r="G41" s="32" t="str">
        <f aca="false">IF(AND(A41=WhatsApp!$C$5,C41&lt;&gt;"",D41&lt;&gt;"Yes"),COUNTIFS($A$6:A41,WhatsApp!$C$5,$C$6:C41,"&lt;&gt;",$D$6:D41,"&lt;&gt;Yes"),"")</f>
        <v/>
      </c>
    </row>
    <row r="42" customFormat="false" ht="15" hidden="false" customHeight="false" outlineLevel="0" collapsed="false">
      <c r="A42" s="30" t="n">
        <v>8</v>
      </c>
      <c r="B42" s="21" t="str">
        <f aca="false">IF(A42="","",IFERROR(INDEX(Stages!$B$6:$B$15,A42),""))</f>
        <v>Floors, doors &amp; finishing</v>
      </c>
      <c r="C42" s="31" t="s">
        <v>141</v>
      </c>
      <c r="D42" s="23" t="s">
        <v>105</v>
      </c>
      <c r="E42" s="25"/>
      <c r="F42" s="23"/>
      <c r="G42" s="32" t="str">
        <f aca="false">IF(AND(A42=WhatsApp!$C$5,C42&lt;&gt;"",D42&lt;&gt;"Yes"),COUNTIFS($A$6:A42,WhatsApp!$C$5,$C$6:C42,"&lt;&gt;",$D$6:D42,"&lt;&gt;Yes"),"")</f>
        <v/>
      </c>
    </row>
    <row r="43" customFormat="false" ht="15" hidden="false" customHeight="false" outlineLevel="0" collapsed="false">
      <c r="A43" s="30" t="n">
        <v>8</v>
      </c>
      <c r="B43" s="21" t="str">
        <f aca="false">IF(A43="","",IFERROR(INDEX(Stages!$B$6:$B$15,A43),""))</f>
        <v>Floors, doors &amp; finishing</v>
      </c>
      <c r="C43" s="31" t="s">
        <v>142</v>
      </c>
      <c r="D43" s="23" t="s">
        <v>105</v>
      </c>
      <c r="E43" s="25"/>
      <c r="F43" s="23"/>
      <c r="G43" s="32" t="str">
        <f aca="false">IF(AND(A43=WhatsApp!$C$5,C43&lt;&gt;"",D43&lt;&gt;"Yes"),COUNTIFS($A$6:A43,WhatsApp!$C$5,$C$6:C43,"&lt;&gt;",$D$6:D43,"&lt;&gt;Yes"),"")</f>
        <v/>
      </c>
    </row>
    <row r="44" customFormat="false" ht="15" hidden="false" customHeight="false" outlineLevel="0" collapsed="false">
      <c r="A44" s="30" t="n">
        <v>8</v>
      </c>
      <c r="B44" s="21" t="str">
        <f aca="false">IF(A44="","",IFERROR(INDEX(Stages!$B$6:$B$15,A44),""))</f>
        <v>Floors, doors &amp; finishing</v>
      </c>
      <c r="C44" s="31" t="s">
        <v>143</v>
      </c>
      <c r="D44" s="23" t="s">
        <v>105</v>
      </c>
      <c r="E44" s="25"/>
      <c r="F44" s="23"/>
      <c r="G44" s="32" t="str">
        <f aca="false">IF(AND(A44=WhatsApp!$C$5,C44&lt;&gt;"",D44&lt;&gt;"Yes"),COUNTIFS($A$6:A44,WhatsApp!$C$5,$C$6:C44,"&lt;&gt;",$D$6:D44,"&lt;&gt;Yes"),"")</f>
        <v/>
      </c>
    </row>
    <row r="45" customFormat="false" ht="15" hidden="false" customHeight="false" outlineLevel="0" collapsed="false">
      <c r="A45" s="30" t="n">
        <v>8</v>
      </c>
      <c r="B45" s="21" t="str">
        <f aca="false">IF(A45="","",IFERROR(INDEX(Stages!$B$6:$B$15,A45),""))</f>
        <v>Floors, doors &amp; finishing</v>
      </c>
      <c r="C45" s="31" t="s">
        <v>144</v>
      </c>
      <c r="D45" s="23" t="s">
        <v>105</v>
      </c>
      <c r="E45" s="25"/>
      <c r="F45" s="23"/>
      <c r="G45" s="32" t="str">
        <f aca="false">IF(AND(A45=WhatsApp!$C$5,C45&lt;&gt;"",D45&lt;&gt;"Yes"),COUNTIFS($A$6:A45,WhatsApp!$C$5,$C$6:C45,"&lt;&gt;",$D$6:D45,"&lt;&gt;Yes"),"")</f>
        <v/>
      </c>
    </row>
    <row r="46" customFormat="false" ht="15" hidden="false" customHeight="false" outlineLevel="0" collapsed="false">
      <c r="A46" s="30" t="n">
        <v>8</v>
      </c>
      <c r="B46" s="21" t="str">
        <f aca="false">IF(A46="","",IFERROR(INDEX(Stages!$B$6:$B$15,A46),""))</f>
        <v>Floors, doors &amp; finishing</v>
      </c>
      <c r="C46" s="31" t="s">
        <v>145</v>
      </c>
      <c r="D46" s="23" t="s">
        <v>105</v>
      </c>
      <c r="E46" s="25"/>
      <c r="F46" s="23"/>
      <c r="G46" s="32" t="str">
        <f aca="false">IF(AND(A46=WhatsApp!$C$5,C46&lt;&gt;"",D46&lt;&gt;"Yes"),COUNTIFS($A$6:A46,WhatsApp!$C$5,$C$6:C46,"&lt;&gt;",$D$6:D46,"&lt;&gt;Yes"),"")</f>
        <v/>
      </c>
    </row>
    <row r="47" customFormat="false" ht="15" hidden="false" customHeight="false" outlineLevel="0" collapsed="false">
      <c r="A47" s="30" t="n">
        <v>8</v>
      </c>
      <c r="B47" s="21" t="str">
        <f aca="false">IF(A47="","",IFERROR(INDEX(Stages!$B$6:$B$15,A47),""))</f>
        <v>Floors, doors &amp; finishing</v>
      </c>
      <c r="C47" s="31" t="s">
        <v>146</v>
      </c>
      <c r="D47" s="23" t="s">
        <v>105</v>
      </c>
      <c r="E47" s="25"/>
      <c r="F47" s="23"/>
      <c r="G47" s="32" t="str">
        <f aca="false">IF(AND(A47=WhatsApp!$C$5,C47&lt;&gt;"",D47&lt;&gt;"Yes"),COUNTIFS($A$6:A47,WhatsApp!$C$5,$C$6:C47,"&lt;&gt;",$D$6:D47,"&lt;&gt;Yes"),"")</f>
        <v/>
      </c>
    </row>
    <row r="48" customFormat="false" ht="15" hidden="false" customHeight="false" outlineLevel="0" collapsed="false">
      <c r="A48" s="30"/>
      <c r="B48" s="21" t="str">
        <f aca="false">IF(A48="","",IFERROR(INDEX(Stages!$B$6:$B$15,A48),""))</f>
        <v/>
      </c>
      <c r="C48" s="31"/>
      <c r="D48" s="23"/>
      <c r="E48" s="25"/>
      <c r="F48" s="23"/>
      <c r="G48" s="32" t="str">
        <f aca="false">IF(AND(A48=WhatsApp!$C$5,C48&lt;&gt;"",D48&lt;&gt;"Yes"),COUNTIFS($A$6:A48,WhatsApp!$C$5,$C$6:C48,"&lt;&gt;",$D$6:D48,"&lt;&gt;Yes"),"")</f>
        <v/>
      </c>
    </row>
    <row r="49" customFormat="false" ht="15" hidden="false" customHeight="false" outlineLevel="0" collapsed="false">
      <c r="A49" s="30"/>
      <c r="B49" s="21" t="str">
        <f aca="false">IF(A49="","",IFERROR(INDEX(Stages!$B$6:$B$15,A49),""))</f>
        <v/>
      </c>
      <c r="C49" s="31"/>
      <c r="D49" s="23"/>
      <c r="E49" s="25"/>
      <c r="F49" s="23"/>
      <c r="G49" s="32" t="str">
        <f aca="false">IF(AND(A49=WhatsApp!$C$5,C49&lt;&gt;"",D49&lt;&gt;"Yes"),COUNTIFS($A$6:A49,WhatsApp!$C$5,$C$6:C49,"&lt;&gt;",$D$6:D49,"&lt;&gt;Yes"),"")</f>
        <v/>
      </c>
    </row>
    <row r="50" customFormat="false" ht="15" hidden="false" customHeight="false" outlineLevel="0" collapsed="false">
      <c r="A50" s="30"/>
      <c r="B50" s="21" t="str">
        <f aca="false">IF(A50="","",IFERROR(INDEX(Stages!$B$6:$B$15,A50),""))</f>
        <v/>
      </c>
      <c r="C50" s="31"/>
      <c r="D50" s="23"/>
      <c r="E50" s="25"/>
      <c r="F50" s="23"/>
      <c r="G50" s="32" t="str">
        <f aca="false">IF(AND(A50=WhatsApp!$C$5,C50&lt;&gt;"",D50&lt;&gt;"Yes"),COUNTIFS($A$6:A50,WhatsApp!$C$5,$C$6:C50,"&lt;&gt;",$D$6:D50,"&lt;&gt;Yes"),"")</f>
        <v/>
      </c>
    </row>
    <row r="51" customFormat="false" ht="15" hidden="false" customHeight="false" outlineLevel="0" collapsed="false">
      <c r="A51" s="30"/>
      <c r="B51" s="21" t="str">
        <f aca="false">IF(A51="","",IFERROR(INDEX(Stages!$B$6:$B$15,A51),""))</f>
        <v/>
      </c>
      <c r="C51" s="31"/>
      <c r="D51" s="23"/>
      <c r="E51" s="25"/>
      <c r="F51" s="23"/>
      <c r="G51" s="32" t="str">
        <f aca="false">IF(AND(A51=WhatsApp!$C$5,C51&lt;&gt;"",D51&lt;&gt;"Yes"),COUNTIFS($A$6:A51,WhatsApp!$C$5,$C$6:C51,"&lt;&gt;",$D$6:D51,"&lt;&gt;Yes"),"")</f>
        <v/>
      </c>
    </row>
    <row r="52" customFormat="false" ht="15" hidden="false" customHeight="false" outlineLevel="0" collapsed="false">
      <c r="A52" s="30"/>
      <c r="B52" s="21" t="str">
        <f aca="false">IF(A52="","",IFERROR(INDEX(Stages!$B$6:$B$15,A52),""))</f>
        <v/>
      </c>
      <c r="C52" s="31"/>
      <c r="D52" s="23"/>
      <c r="E52" s="25"/>
      <c r="F52" s="23"/>
      <c r="G52" s="32" t="str">
        <f aca="false">IF(AND(A52=WhatsApp!$C$5,C52&lt;&gt;"",D52&lt;&gt;"Yes"),COUNTIFS($A$6:A52,WhatsApp!$C$5,$C$6:C52,"&lt;&gt;",$D$6:D52,"&lt;&gt;Yes"),"")</f>
        <v/>
      </c>
    </row>
    <row r="53" customFormat="false" ht="15" hidden="false" customHeight="false" outlineLevel="0" collapsed="false">
      <c r="A53" s="30"/>
      <c r="B53" s="21" t="str">
        <f aca="false">IF(A53="","",IFERROR(INDEX(Stages!$B$6:$B$15,A53),""))</f>
        <v/>
      </c>
      <c r="C53" s="31"/>
      <c r="D53" s="23"/>
      <c r="E53" s="25"/>
      <c r="F53" s="23"/>
      <c r="G53" s="32" t="str">
        <f aca="false">IF(AND(A53=WhatsApp!$C$5,C53&lt;&gt;"",D53&lt;&gt;"Yes"),COUNTIFS($A$6:A53,WhatsApp!$C$5,$C$6:C53,"&lt;&gt;",$D$6:D53,"&lt;&gt;Yes"),"")</f>
        <v/>
      </c>
    </row>
    <row r="54" customFormat="false" ht="15" hidden="false" customHeight="false" outlineLevel="0" collapsed="false">
      <c r="A54" s="30"/>
      <c r="B54" s="21" t="str">
        <f aca="false">IF(A54="","",IFERROR(INDEX(Stages!$B$6:$B$15,A54),""))</f>
        <v/>
      </c>
      <c r="C54" s="31"/>
      <c r="D54" s="23"/>
      <c r="E54" s="25"/>
      <c r="F54" s="23"/>
      <c r="G54" s="32" t="str">
        <f aca="false">IF(AND(A54=WhatsApp!$C$5,C54&lt;&gt;"",D54&lt;&gt;"Yes"),COUNTIFS($A$6:A54,WhatsApp!$C$5,$C$6:C54,"&lt;&gt;",$D$6:D54,"&lt;&gt;Yes"),"")</f>
        <v/>
      </c>
    </row>
    <row r="55" customFormat="false" ht="15" hidden="false" customHeight="false" outlineLevel="0" collapsed="false">
      <c r="A55" s="30"/>
      <c r="B55" s="21" t="str">
        <f aca="false">IF(A55="","",IFERROR(INDEX(Stages!$B$6:$B$15,A55),""))</f>
        <v/>
      </c>
      <c r="C55" s="31"/>
      <c r="D55" s="23"/>
      <c r="E55" s="25"/>
      <c r="F55" s="23"/>
      <c r="G55" s="32" t="str">
        <f aca="false">IF(AND(A55=WhatsApp!$C$5,C55&lt;&gt;"",D55&lt;&gt;"Yes"),COUNTIFS($A$6:A55,WhatsApp!$C$5,$C$6:C55,"&lt;&gt;",$D$6:D55,"&lt;&gt;Yes"),"")</f>
        <v/>
      </c>
    </row>
    <row r="56" customFormat="false" ht="15" hidden="false" customHeight="false" outlineLevel="0" collapsed="false">
      <c r="A56" s="30"/>
      <c r="B56" s="21" t="str">
        <f aca="false">IF(A56="","",IFERROR(INDEX(Stages!$B$6:$B$15,A56),""))</f>
        <v/>
      </c>
      <c r="C56" s="31"/>
      <c r="D56" s="23"/>
      <c r="E56" s="25"/>
      <c r="F56" s="23"/>
      <c r="G56" s="32" t="str">
        <f aca="false">IF(AND(A56=WhatsApp!$C$5,C56&lt;&gt;"",D56&lt;&gt;"Yes"),COUNTIFS($A$6:A56,WhatsApp!$C$5,$C$6:C56,"&lt;&gt;",$D$6:D56,"&lt;&gt;Yes"),"")</f>
        <v/>
      </c>
    </row>
    <row r="57" customFormat="false" ht="15" hidden="false" customHeight="false" outlineLevel="0" collapsed="false">
      <c r="A57" s="30"/>
      <c r="B57" s="21" t="str">
        <f aca="false">IF(A57="","",IFERROR(INDEX(Stages!$B$6:$B$15,A57),""))</f>
        <v/>
      </c>
      <c r="C57" s="31"/>
      <c r="D57" s="23"/>
      <c r="E57" s="25"/>
      <c r="F57" s="23"/>
      <c r="G57" s="32" t="str">
        <f aca="false">IF(AND(A57=WhatsApp!$C$5,C57&lt;&gt;"",D57&lt;&gt;"Yes"),COUNTIFS($A$6:A57,WhatsApp!$C$5,$C$6:C57,"&lt;&gt;",$D$6:D57,"&lt;&gt;Yes"),"")</f>
        <v/>
      </c>
    </row>
    <row r="58" customFormat="false" ht="15" hidden="false" customHeight="false" outlineLevel="0" collapsed="false">
      <c r="A58" s="30"/>
      <c r="B58" s="21" t="str">
        <f aca="false">IF(A58="","",IFERROR(INDEX(Stages!$B$6:$B$15,A58),""))</f>
        <v/>
      </c>
      <c r="C58" s="31"/>
      <c r="D58" s="23"/>
      <c r="E58" s="25"/>
      <c r="F58" s="23"/>
      <c r="G58" s="32" t="str">
        <f aca="false">IF(AND(A58=WhatsApp!$C$5,C58&lt;&gt;"",D58&lt;&gt;"Yes"),COUNTIFS($A$6:A58,WhatsApp!$C$5,$C$6:C58,"&lt;&gt;",$D$6:D58,"&lt;&gt;Yes"),"")</f>
        <v/>
      </c>
    </row>
    <row r="59" customFormat="false" ht="15" hidden="false" customHeight="false" outlineLevel="0" collapsed="false">
      <c r="A59" s="30"/>
      <c r="B59" s="21" t="str">
        <f aca="false">IF(A59="","",IFERROR(INDEX(Stages!$B$6:$B$15,A59),""))</f>
        <v/>
      </c>
      <c r="C59" s="31"/>
      <c r="D59" s="23"/>
      <c r="E59" s="25"/>
      <c r="F59" s="23"/>
      <c r="G59" s="32" t="str">
        <f aca="false">IF(AND(A59=WhatsApp!$C$5,C59&lt;&gt;"",D59&lt;&gt;"Yes"),COUNTIFS($A$6:A59,WhatsApp!$C$5,$C$6:C59,"&lt;&gt;",$D$6:D59,"&lt;&gt;Yes"),"")</f>
        <v/>
      </c>
    </row>
    <row r="60" customFormat="false" ht="15" hidden="false" customHeight="false" outlineLevel="0" collapsed="false">
      <c r="A60" s="30"/>
      <c r="B60" s="21" t="str">
        <f aca="false">IF(A60="","",IFERROR(INDEX(Stages!$B$6:$B$15,A60),""))</f>
        <v/>
      </c>
      <c r="C60" s="31"/>
      <c r="D60" s="23"/>
      <c r="E60" s="25"/>
      <c r="F60" s="23"/>
      <c r="G60" s="32" t="str">
        <f aca="false">IF(AND(A60=WhatsApp!$C$5,C60&lt;&gt;"",D60&lt;&gt;"Yes"),COUNTIFS($A$6:A60,WhatsApp!$C$5,$C$6:C60,"&lt;&gt;",$D$6:D60,"&lt;&gt;Yes"),"")</f>
        <v/>
      </c>
    </row>
    <row r="61" customFormat="false" ht="15" hidden="false" customHeight="false" outlineLevel="0" collapsed="false">
      <c r="A61" s="30"/>
      <c r="B61" s="21" t="str">
        <f aca="false">IF(A61="","",IFERROR(INDEX(Stages!$B$6:$B$15,A61),""))</f>
        <v/>
      </c>
      <c r="C61" s="31"/>
      <c r="D61" s="23"/>
      <c r="E61" s="25"/>
      <c r="F61" s="23"/>
      <c r="G61" s="32" t="str">
        <f aca="false">IF(AND(A61=WhatsApp!$C$5,C61&lt;&gt;"",D61&lt;&gt;"Yes"),COUNTIFS($A$6:A61,WhatsApp!$C$5,$C$6:C61,"&lt;&gt;",$D$6:D61,"&lt;&gt;Yes"),"")</f>
        <v/>
      </c>
    </row>
    <row r="62" customFormat="false" ht="15" hidden="false" customHeight="false" outlineLevel="0" collapsed="false">
      <c r="A62" s="30"/>
      <c r="B62" s="21" t="str">
        <f aca="false">IF(A62="","",IFERROR(INDEX(Stages!$B$6:$B$15,A62),""))</f>
        <v/>
      </c>
      <c r="C62" s="31"/>
      <c r="D62" s="23"/>
      <c r="E62" s="25"/>
      <c r="F62" s="23"/>
      <c r="G62" s="32" t="str">
        <f aca="false">IF(AND(A62=WhatsApp!$C$5,C62&lt;&gt;"",D62&lt;&gt;"Yes"),COUNTIFS($A$6:A62,WhatsApp!$C$5,$C$6:C62,"&lt;&gt;",$D$6:D62,"&lt;&gt;Yes"),"")</f>
        <v/>
      </c>
    </row>
    <row r="63" customFormat="false" ht="15" hidden="false" customHeight="false" outlineLevel="0" collapsed="false">
      <c r="A63" s="30"/>
      <c r="B63" s="21" t="str">
        <f aca="false">IF(A63="","",IFERROR(INDEX(Stages!$B$6:$B$15,A63),""))</f>
        <v/>
      </c>
      <c r="C63" s="31"/>
      <c r="D63" s="23"/>
      <c r="E63" s="25"/>
      <c r="F63" s="23"/>
      <c r="G63" s="32" t="str">
        <f aca="false">IF(AND(A63=WhatsApp!$C$5,C63&lt;&gt;"",D63&lt;&gt;"Yes"),COUNTIFS($A$6:A63,WhatsApp!$C$5,$C$6:C63,"&lt;&gt;",$D$6:D63,"&lt;&gt;Yes"),"")</f>
        <v/>
      </c>
    </row>
    <row r="64" customFormat="false" ht="15" hidden="false" customHeight="false" outlineLevel="0" collapsed="false">
      <c r="A64" s="30"/>
      <c r="B64" s="21" t="str">
        <f aca="false">IF(A64="","",IFERROR(INDEX(Stages!$B$6:$B$15,A64),""))</f>
        <v/>
      </c>
      <c r="C64" s="31"/>
      <c r="D64" s="23"/>
      <c r="E64" s="25"/>
      <c r="F64" s="23"/>
      <c r="G64" s="32" t="str">
        <f aca="false">IF(AND(A64=WhatsApp!$C$5,C64&lt;&gt;"",D64&lt;&gt;"Yes"),COUNTIFS($A$6:A64,WhatsApp!$C$5,$C$6:C64,"&lt;&gt;",$D$6:D64,"&lt;&gt;Yes"),"")</f>
        <v/>
      </c>
    </row>
    <row r="65" customFormat="false" ht="15" hidden="false" customHeight="false" outlineLevel="0" collapsed="false">
      <c r="A65" s="30"/>
      <c r="B65" s="21" t="str">
        <f aca="false">IF(A65="","",IFERROR(INDEX(Stages!$B$6:$B$15,A65),""))</f>
        <v/>
      </c>
      <c r="C65" s="31"/>
      <c r="D65" s="23"/>
      <c r="E65" s="25"/>
      <c r="F65" s="23"/>
      <c r="G65" s="32" t="str">
        <f aca="false">IF(AND(A65=WhatsApp!$C$5,C65&lt;&gt;"",D65&lt;&gt;"Yes"),COUNTIFS($A$6:A65,WhatsApp!$C$5,$C$6:C65,"&lt;&gt;",$D$6:D65,"&lt;&gt;Yes"),"")</f>
        <v/>
      </c>
    </row>
    <row r="66" customFormat="false" ht="15" hidden="false" customHeight="false" outlineLevel="0" collapsed="false">
      <c r="A66" s="30"/>
      <c r="B66" s="21" t="str">
        <f aca="false">IF(A66="","",IFERROR(INDEX(Stages!$B$6:$B$15,A66),""))</f>
        <v/>
      </c>
      <c r="C66" s="31"/>
      <c r="D66" s="23"/>
      <c r="E66" s="25"/>
      <c r="F66" s="23"/>
      <c r="G66" s="32" t="str">
        <f aca="false">IF(AND(A66=WhatsApp!$C$5,C66&lt;&gt;"",D66&lt;&gt;"Yes"),COUNTIFS($A$6:A66,WhatsApp!$C$5,$C$6:C66,"&lt;&gt;",$D$6:D66,"&lt;&gt;Yes"),"")</f>
        <v/>
      </c>
    </row>
    <row r="67" customFormat="false" ht="15" hidden="false" customHeight="false" outlineLevel="0" collapsed="false">
      <c r="A67" s="30"/>
      <c r="B67" s="21" t="str">
        <f aca="false">IF(A67="","",IFERROR(INDEX(Stages!$B$6:$B$15,A67),""))</f>
        <v/>
      </c>
      <c r="C67" s="31"/>
      <c r="D67" s="23"/>
      <c r="E67" s="25"/>
      <c r="F67" s="23"/>
      <c r="G67" s="32" t="str">
        <f aca="false">IF(AND(A67=WhatsApp!$C$5,C67&lt;&gt;"",D67&lt;&gt;"Yes"),COUNTIFS($A$6:A67,WhatsApp!$C$5,$C$6:C67,"&lt;&gt;",$D$6:D67,"&lt;&gt;Yes"),"")</f>
        <v/>
      </c>
    </row>
    <row r="68" customFormat="false" ht="15" hidden="false" customHeight="false" outlineLevel="0" collapsed="false">
      <c r="A68" s="30"/>
      <c r="B68" s="21" t="str">
        <f aca="false">IF(A68="","",IFERROR(INDEX(Stages!$B$6:$B$15,A68),""))</f>
        <v/>
      </c>
      <c r="C68" s="31"/>
      <c r="D68" s="23"/>
      <c r="E68" s="25"/>
      <c r="F68" s="23"/>
      <c r="G68" s="32" t="str">
        <f aca="false">IF(AND(A68=WhatsApp!$C$5,C68&lt;&gt;"",D68&lt;&gt;"Yes"),COUNTIFS($A$6:A68,WhatsApp!$C$5,$C$6:C68,"&lt;&gt;",$D$6:D68,"&lt;&gt;Yes"),"")</f>
        <v/>
      </c>
    </row>
    <row r="69" customFormat="false" ht="15" hidden="false" customHeight="false" outlineLevel="0" collapsed="false">
      <c r="A69" s="30"/>
      <c r="B69" s="21" t="str">
        <f aca="false">IF(A69="","",IFERROR(INDEX(Stages!$B$6:$B$15,A69),""))</f>
        <v/>
      </c>
      <c r="C69" s="31"/>
      <c r="D69" s="23"/>
      <c r="E69" s="25"/>
      <c r="F69" s="23"/>
      <c r="G69" s="32" t="str">
        <f aca="false">IF(AND(A69=WhatsApp!$C$5,C69&lt;&gt;"",D69&lt;&gt;"Yes"),COUNTIFS($A$6:A69,WhatsApp!$C$5,$C$6:C69,"&lt;&gt;",$D$6:D69,"&lt;&gt;Yes"),"")</f>
        <v/>
      </c>
    </row>
    <row r="70" customFormat="false" ht="15" hidden="false" customHeight="false" outlineLevel="0" collapsed="false">
      <c r="A70" s="30"/>
      <c r="B70" s="21" t="str">
        <f aca="false">IF(A70="","",IFERROR(INDEX(Stages!$B$6:$B$15,A70),""))</f>
        <v/>
      </c>
      <c r="C70" s="31"/>
      <c r="D70" s="23"/>
      <c r="E70" s="25"/>
      <c r="F70" s="23"/>
      <c r="G70" s="32" t="str">
        <f aca="false">IF(AND(A70=WhatsApp!$C$5,C70&lt;&gt;"",D70&lt;&gt;"Yes"),COUNTIFS($A$6:A70,WhatsApp!$C$5,$C$6:C70,"&lt;&gt;",$D$6:D70,"&lt;&gt;Yes"),"")</f>
        <v/>
      </c>
    </row>
    <row r="71" customFormat="false" ht="15" hidden="false" customHeight="false" outlineLevel="0" collapsed="false">
      <c r="A71" s="30"/>
      <c r="B71" s="21" t="str">
        <f aca="false">IF(A71="","",IFERROR(INDEX(Stages!$B$6:$B$15,A71),""))</f>
        <v/>
      </c>
      <c r="C71" s="31"/>
      <c r="D71" s="23"/>
      <c r="E71" s="25"/>
      <c r="F71" s="23"/>
      <c r="G71" s="32" t="str">
        <f aca="false">IF(AND(A71=WhatsApp!$C$5,C71&lt;&gt;"",D71&lt;&gt;"Yes"),COUNTIFS($A$6:A71,WhatsApp!$C$5,$C$6:C71,"&lt;&gt;",$D$6:D71,"&lt;&gt;Yes"),"")</f>
        <v/>
      </c>
    </row>
    <row r="72" customFormat="false" ht="15" hidden="false" customHeight="false" outlineLevel="0" collapsed="false">
      <c r="A72" s="30"/>
      <c r="B72" s="21" t="str">
        <f aca="false">IF(A72="","",IFERROR(INDEX(Stages!$B$6:$B$15,A72),""))</f>
        <v/>
      </c>
      <c r="C72" s="31"/>
      <c r="D72" s="23"/>
      <c r="E72" s="25"/>
      <c r="F72" s="23"/>
      <c r="G72" s="32" t="str">
        <f aca="false">IF(AND(A72=WhatsApp!$C$5,C72&lt;&gt;"",D72&lt;&gt;"Yes"),COUNTIFS($A$6:A72,WhatsApp!$C$5,$C$6:C72,"&lt;&gt;",$D$6:D72,"&lt;&gt;Yes"),"")</f>
        <v/>
      </c>
    </row>
    <row r="73" customFormat="false" ht="15" hidden="false" customHeight="false" outlineLevel="0" collapsed="false">
      <c r="A73" s="30"/>
      <c r="B73" s="21" t="str">
        <f aca="false">IF(A73="","",IFERROR(INDEX(Stages!$B$6:$B$15,A73),""))</f>
        <v/>
      </c>
      <c r="C73" s="31"/>
      <c r="D73" s="23"/>
      <c r="E73" s="25"/>
      <c r="F73" s="23"/>
      <c r="G73" s="32" t="str">
        <f aca="false">IF(AND(A73=WhatsApp!$C$5,C73&lt;&gt;"",D73&lt;&gt;"Yes"),COUNTIFS($A$6:A73,WhatsApp!$C$5,$C$6:C73,"&lt;&gt;",$D$6:D73,"&lt;&gt;Yes"),"")</f>
        <v/>
      </c>
    </row>
    <row r="74" customFormat="false" ht="15" hidden="false" customHeight="false" outlineLevel="0" collapsed="false">
      <c r="A74" s="30"/>
      <c r="B74" s="21" t="str">
        <f aca="false">IF(A74="","",IFERROR(INDEX(Stages!$B$6:$B$15,A74),""))</f>
        <v/>
      </c>
      <c r="C74" s="31"/>
      <c r="D74" s="23"/>
      <c r="E74" s="25"/>
      <c r="F74" s="23"/>
      <c r="G74" s="32" t="str">
        <f aca="false">IF(AND(A74=WhatsApp!$C$5,C74&lt;&gt;"",D74&lt;&gt;"Yes"),COUNTIFS($A$6:A74,WhatsApp!$C$5,$C$6:C74,"&lt;&gt;",$D$6:D74,"&lt;&gt;Yes"),"")</f>
        <v/>
      </c>
    </row>
    <row r="75" customFormat="false" ht="15" hidden="false" customHeight="false" outlineLevel="0" collapsed="false">
      <c r="A75" s="30"/>
      <c r="B75" s="21" t="str">
        <f aca="false">IF(A75="","",IFERROR(INDEX(Stages!$B$6:$B$15,A75),""))</f>
        <v/>
      </c>
      <c r="C75" s="31"/>
      <c r="D75" s="23"/>
      <c r="E75" s="25"/>
      <c r="F75" s="23"/>
      <c r="G75" s="32" t="str">
        <f aca="false">IF(AND(A75=WhatsApp!$C$5,C75&lt;&gt;"",D75&lt;&gt;"Yes"),COUNTIFS($A$6:A75,WhatsApp!$C$5,$C$6:C75,"&lt;&gt;",$D$6:D75,"&lt;&gt;Yes"),"")</f>
        <v/>
      </c>
    </row>
    <row r="76" customFormat="false" ht="15" hidden="false" customHeight="false" outlineLevel="0" collapsed="false">
      <c r="A76" s="30"/>
      <c r="B76" s="21" t="str">
        <f aca="false">IF(A76="","",IFERROR(INDEX(Stages!$B$6:$B$15,A76),""))</f>
        <v/>
      </c>
      <c r="C76" s="31"/>
      <c r="D76" s="23"/>
      <c r="E76" s="25"/>
      <c r="F76" s="23"/>
      <c r="G76" s="32" t="str">
        <f aca="false">IF(AND(A76=WhatsApp!$C$5,C76&lt;&gt;"",D76&lt;&gt;"Yes"),COUNTIFS($A$6:A76,WhatsApp!$C$5,$C$6:C76,"&lt;&gt;",$D$6:D76,"&lt;&gt;Yes"),"")</f>
        <v/>
      </c>
    </row>
    <row r="77" customFormat="false" ht="15" hidden="false" customHeight="false" outlineLevel="0" collapsed="false">
      <c r="A77" s="30"/>
      <c r="B77" s="21" t="str">
        <f aca="false">IF(A77="","",IFERROR(INDEX(Stages!$B$6:$B$15,A77),""))</f>
        <v/>
      </c>
      <c r="C77" s="31"/>
      <c r="D77" s="23"/>
      <c r="E77" s="25"/>
      <c r="F77" s="23"/>
      <c r="G77" s="32" t="str">
        <f aca="false">IF(AND(A77=WhatsApp!$C$5,C77&lt;&gt;"",D77&lt;&gt;"Yes"),COUNTIFS($A$6:A77,WhatsApp!$C$5,$C$6:C77,"&lt;&gt;",$D$6:D77,"&lt;&gt;Yes"),"")</f>
        <v/>
      </c>
    </row>
    <row r="78" customFormat="false" ht="15" hidden="false" customHeight="false" outlineLevel="0" collapsed="false">
      <c r="A78" s="30"/>
      <c r="B78" s="21" t="str">
        <f aca="false">IF(A78="","",IFERROR(INDEX(Stages!$B$6:$B$15,A78),""))</f>
        <v/>
      </c>
      <c r="C78" s="31"/>
      <c r="D78" s="23"/>
      <c r="E78" s="25"/>
      <c r="F78" s="23"/>
      <c r="G78" s="32" t="str">
        <f aca="false">IF(AND(A78=WhatsApp!$C$5,C78&lt;&gt;"",D78&lt;&gt;"Yes"),COUNTIFS($A$6:A78,WhatsApp!$C$5,$C$6:C78,"&lt;&gt;",$D$6:D78,"&lt;&gt;Yes"),"")</f>
        <v/>
      </c>
    </row>
    <row r="79" customFormat="false" ht="15" hidden="false" customHeight="false" outlineLevel="0" collapsed="false">
      <c r="A79" s="30"/>
      <c r="B79" s="21" t="str">
        <f aca="false">IF(A79="","",IFERROR(INDEX(Stages!$B$6:$B$15,A79),""))</f>
        <v/>
      </c>
      <c r="C79" s="31"/>
      <c r="D79" s="23"/>
      <c r="E79" s="25"/>
      <c r="F79" s="23"/>
      <c r="G79" s="32" t="str">
        <f aca="false">IF(AND(A79=WhatsApp!$C$5,C79&lt;&gt;"",D79&lt;&gt;"Yes"),COUNTIFS($A$6:A79,WhatsApp!$C$5,$C$6:C79,"&lt;&gt;",$D$6:D79,"&lt;&gt;Yes"),"")</f>
        <v/>
      </c>
    </row>
    <row r="80" customFormat="false" ht="15" hidden="false" customHeight="false" outlineLevel="0" collapsed="false">
      <c r="A80" s="30"/>
      <c r="B80" s="21" t="str">
        <f aca="false">IF(A80="","",IFERROR(INDEX(Stages!$B$6:$B$15,A80),""))</f>
        <v/>
      </c>
      <c r="C80" s="31"/>
      <c r="D80" s="23"/>
      <c r="E80" s="25"/>
      <c r="F80" s="23"/>
      <c r="G80" s="32" t="str">
        <f aca="false">IF(AND(A80=WhatsApp!$C$5,C80&lt;&gt;"",D80&lt;&gt;"Yes"),COUNTIFS($A$6:A80,WhatsApp!$C$5,$C$6:C80,"&lt;&gt;",$D$6:D80,"&lt;&gt;Yes"),"")</f>
        <v/>
      </c>
    </row>
    <row r="81" customFormat="false" ht="15" hidden="false" customHeight="false" outlineLevel="0" collapsed="false">
      <c r="A81" s="30"/>
      <c r="B81" s="21" t="str">
        <f aca="false">IF(A81="","",IFERROR(INDEX(Stages!$B$6:$B$15,A81),""))</f>
        <v/>
      </c>
      <c r="C81" s="31"/>
      <c r="D81" s="23"/>
      <c r="E81" s="25"/>
      <c r="F81" s="23"/>
      <c r="G81" s="32" t="str">
        <f aca="false">IF(AND(A81=WhatsApp!$C$5,C81&lt;&gt;"",D81&lt;&gt;"Yes"),COUNTIFS($A$6:A81,WhatsApp!$C$5,$C$6:C81,"&lt;&gt;",$D$6:D81,"&lt;&gt;Yes"),"")</f>
        <v/>
      </c>
    </row>
    <row r="82" customFormat="false" ht="15" hidden="false" customHeight="false" outlineLevel="0" collapsed="false">
      <c r="A82" s="30"/>
      <c r="B82" s="21" t="str">
        <f aca="false">IF(A82="","",IFERROR(INDEX(Stages!$B$6:$B$15,A82),""))</f>
        <v/>
      </c>
      <c r="C82" s="31"/>
      <c r="D82" s="23"/>
      <c r="E82" s="25"/>
      <c r="F82" s="23"/>
      <c r="G82" s="32" t="str">
        <f aca="false">IF(AND(A82=WhatsApp!$C$5,C82&lt;&gt;"",D82&lt;&gt;"Yes"),COUNTIFS($A$6:A82,WhatsApp!$C$5,$C$6:C82,"&lt;&gt;",$D$6:D82,"&lt;&gt;Yes"),"")</f>
        <v/>
      </c>
    </row>
    <row r="83" customFormat="false" ht="15" hidden="false" customHeight="false" outlineLevel="0" collapsed="false">
      <c r="A83" s="30"/>
      <c r="B83" s="21" t="str">
        <f aca="false">IF(A83="","",IFERROR(INDEX(Stages!$B$6:$B$15,A83),""))</f>
        <v/>
      </c>
      <c r="C83" s="31"/>
      <c r="D83" s="23"/>
      <c r="E83" s="25"/>
      <c r="F83" s="23"/>
      <c r="G83" s="32" t="str">
        <f aca="false">IF(AND(A83=WhatsApp!$C$5,C83&lt;&gt;"",D83&lt;&gt;"Yes"),COUNTIFS($A$6:A83,WhatsApp!$C$5,$C$6:C83,"&lt;&gt;",$D$6:D83,"&lt;&gt;Yes"),"")</f>
        <v/>
      </c>
    </row>
    <row r="84" customFormat="false" ht="15" hidden="false" customHeight="false" outlineLevel="0" collapsed="false">
      <c r="A84" s="30"/>
      <c r="B84" s="21" t="str">
        <f aca="false">IF(A84="","",IFERROR(INDEX(Stages!$B$6:$B$15,A84),""))</f>
        <v/>
      </c>
      <c r="C84" s="31"/>
      <c r="D84" s="23"/>
      <c r="E84" s="25"/>
      <c r="F84" s="23"/>
      <c r="G84" s="32" t="str">
        <f aca="false">IF(AND(A84=WhatsApp!$C$5,C84&lt;&gt;"",D84&lt;&gt;"Yes"),COUNTIFS($A$6:A84,WhatsApp!$C$5,$C$6:C84,"&lt;&gt;",$D$6:D84,"&lt;&gt;Yes"),"")</f>
        <v/>
      </c>
    </row>
    <row r="85" customFormat="false" ht="15" hidden="false" customHeight="false" outlineLevel="0" collapsed="false">
      <c r="A85" s="30"/>
      <c r="B85" s="21" t="str">
        <f aca="false">IF(A85="","",IFERROR(INDEX(Stages!$B$6:$B$15,A85),""))</f>
        <v/>
      </c>
      <c r="C85" s="31"/>
      <c r="D85" s="23"/>
      <c r="E85" s="25"/>
      <c r="F85" s="23"/>
      <c r="G85" s="32" t="str">
        <f aca="false">IF(AND(A85=WhatsApp!$C$5,C85&lt;&gt;"",D85&lt;&gt;"Yes"),COUNTIFS($A$6:A85,WhatsApp!$C$5,$C$6:C85,"&lt;&gt;",$D$6:D85,"&lt;&gt;Yes"),"")</f>
        <v/>
      </c>
    </row>
    <row r="86" customFormat="false" ht="15" hidden="false" customHeight="false" outlineLevel="0" collapsed="false">
      <c r="A86" s="30"/>
      <c r="B86" s="21" t="str">
        <f aca="false">IF(A86="","",IFERROR(INDEX(Stages!$B$6:$B$15,A86),""))</f>
        <v/>
      </c>
      <c r="C86" s="31"/>
      <c r="D86" s="23"/>
      <c r="E86" s="25"/>
      <c r="F86" s="23"/>
      <c r="G86" s="32" t="str">
        <f aca="false">IF(AND(A86=WhatsApp!$C$5,C86&lt;&gt;"",D86&lt;&gt;"Yes"),COUNTIFS($A$6:A86,WhatsApp!$C$5,$C$6:C86,"&lt;&gt;",$D$6:D86,"&lt;&gt;Yes"),"")</f>
        <v/>
      </c>
    </row>
    <row r="87" customFormat="false" ht="15" hidden="false" customHeight="false" outlineLevel="0" collapsed="false">
      <c r="A87" s="30"/>
      <c r="B87" s="21" t="str">
        <f aca="false">IF(A87="","",IFERROR(INDEX(Stages!$B$6:$B$15,A87),""))</f>
        <v/>
      </c>
      <c r="C87" s="31"/>
      <c r="D87" s="23"/>
      <c r="E87" s="25"/>
      <c r="F87" s="23"/>
      <c r="G87" s="32" t="str">
        <f aca="false">IF(AND(A87=WhatsApp!$C$5,C87&lt;&gt;"",D87&lt;&gt;"Yes"),COUNTIFS($A$6:A87,WhatsApp!$C$5,$C$6:C87,"&lt;&gt;",$D$6:D87,"&lt;&gt;Yes"),"")</f>
        <v/>
      </c>
    </row>
    <row r="88" customFormat="false" ht="15" hidden="false" customHeight="false" outlineLevel="0" collapsed="false">
      <c r="A88" s="30"/>
      <c r="B88" s="21" t="str">
        <f aca="false">IF(A88="","",IFERROR(INDEX(Stages!$B$6:$B$15,A88),""))</f>
        <v/>
      </c>
      <c r="C88" s="31"/>
      <c r="D88" s="23"/>
      <c r="E88" s="25"/>
      <c r="F88" s="23"/>
      <c r="G88" s="32" t="str">
        <f aca="false">IF(AND(A88=WhatsApp!$C$5,C88&lt;&gt;"",D88&lt;&gt;"Yes"),COUNTIFS($A$6:A88,WhatsApp!$C$5,$C$6:C88,"&lt;&gt;",$D$6:D88,"&lt;&gt;Yes"),"")</f>
        <v/>
      </c>
    </row>
    <row r="89" customFormat="false" ht="15" hidden="false" customHeight="false" outlineLevel="0" collapsed="false">
      <c r="A89" s="30"/>
      <c r="B89" s="21" t="str">
        <f aca="false">IF(A89="","",IFERROR(INDEX(Stages!$B$6:$B$15,A89),""))</f>
        <v/>
      </c>
      <c r="C89" s="31"/>
      <c r="D89" s="23"/>
      <c r="E89" s="25"/>
      <c r="F89" s="23"/>
      <c r="G89" s="32" t="str">
        <f aca="false">IF(AND(A89=WhatsApp!$C$5,C89&lt;&gt;"",D89&lt;&gt;"Yes"),COUNTIFS($A$6:A89,WhatsApp!$C$5,$C$6:C89,"&lt;&gt;",$D$6:D89,"&lt;&gt;Yes"),"")</f>
        <v/>
      </c>
    </row>
    <row r="90" customFormat="false" ht="15" hidden="false" customHeight="false" outlineLevel="0" collapsed="false">
      <c r="A90" s="30"/>
      <c r="B90" s="21" t="str">
        <f aca="false">IF(A90="","",IFERROR(INDEX(Stages!$B$6:$B$15,A90),""))</f>
        <v/>
      </c>
      <c r="C90" s="31"/>
      <c r="D90" s="23"/>
      <c r="E90" s="25"/>
      <c r="F90" s="23"/>
      <c r="G90" s="32" t="str">
        <f aca="false">IF(AND(A90=WhatsApp!$C$5,C90&lt;&gt;"",D90&lt;&gt;"Yes"),COUNTIFS($A$6:A90,WhatsApp!$C$5,$C$6:C90,"&lt;&gt;",$D$6:D90,"&lt;&gt;Yes"),"")</f>
        <v/>
      </c>
    </row>
    <row r="91" customFormat="false" ht="15" hidden="false" customHeight="false" outlineLevel="0" collapsed="false">
      <c r="A91" s="30"/>
      <c r="B91" s="21" t="str">
        <f aca="false">IF(A91="","",IFERROR(INDEX(Stages!$B$6:$B$15,A91),""))</f>
        <v/>
      </c>
      <c r="C91" s="31"/>
      <c r="D91" s="23"/>
      <c r="E91" s="25"/>
      <c r="F91" s="23"/>
      <c r="G91" s="32" t="str">
        <f aca="false">IF(AND(A91=WhatsApp!$C$5,C91&lt;&gt;"",D91&lt;&gt;"Yes"),COUNTIFS($A$6:A91,WhatsApp!$C$5,$C$6:C91,"&lt;&gt;",$D$6:D91,"&lt;&gt;Yes"),"")</f>
        <v/>
      </c>
    </row>
    <row r="92" customFormat="false" ht="15" hidden="false" customHeight="false" outlineLevel="0" collapsed="false">
      <c r="A92" s="30"/>
      <c r="B92" s="21" t="str">
        <f aca="false">IF(A92="","",IFERROR(INDEX(Stages!$B$6:$B$15,A92),""))</f>
        <v/>
      </c>
      <c r="C92" s="31"/>
      <c r="D92" s="23"/>
      <c r="E92" s="25"/>
      <c r="F92" s="23"/>
      <c r="G92" s="32" t="str">
        <f aca="false">IF(AND(A92=WhatsApp!$C$5,C92&lt;&gt;"",D92&lt;&gt;"Yes"),COUNTIFS($A$6:A92,WhatsApp!$C$5,$C$6:C92,"&lt;&gt;",$D$6:D92,"&lt;&gt;Yes"),"")</f>
        <v/>
      </c>
    </row>
    <row r="93" customFormat="false" ht="15" hidden="false" customHeight="false" outlineLevel="0" collapsed="false">
      <c r="A93" s="30"/>
      <c r="B93" s="21" t="str">
        <f aca="false">IF(A93="","",IFERROR(INDEX(Stages!$B$6:$B$15,A93),""))</f>
        <v/>
      </c>
      <c r="C93" s="31"/>
      <c r="D93" s="23"/>
      <c r="E93" s="25"/>
      <c r="F93" s="23"/>
      <c r="G93" s="32" t="str">
        <f aca="false">IF(AND(A93=WhatsApp!$C$5,C93&lt;&gt;"",D93&lt;&gt;"Yes"),COUNTIFS($A$6:A93,WhatsApp!$C$5,$C$6:C93,"&lt;&gt;",$D$6:D93,"&lt;&gt;Yes"),"")</f>
        <v/>
      </c>
    </row>
    <row r="94" customFormat="false" ht="15" hidden="false" customHeight="false" outlineLevel="0" collapsed="false">
      <c r="A94" s="30"/>
      <c r="B94" s="21" t="str">
        <f aca="false">IF(A94="","",IFERROR(INDEX(Stages!$B$6:$B$15,A94),""))</f>
        <v/>
      </c>
      <c r="C94" s="31"/>
      <c r="D94" s="23"/>
      <c r="E94" s="25"/>
      <c r="F94" s="23"/>
      <c r="G94" s="32" t="str">
        <f aca="false">IF(AND(A94=WhatsApp!$C$5,C94&lt;&gt;"",D94&lt;&gt;"Yes"),COUNTIFS($A$6:A94,WhatsApp!$C$5,$C$6:C94,"&lt;&gt;",$D$6:D94,"&lt;&gt;Yes"),"")</f>
        <v/>
      </c>
    </row>
    <row r="95" customFormat="false" ht="15" hidden="false" customHeight="false" outlineLevel="0" collapsed="false">
      <c r="A95" s="30"/>
      <c r="B95" s="21" t="str">
        <f aca="false">IF(A95="","",IFERROR(INDEX(Stages!$B$6:$B$15,A95),""))</f>
        <v/>
      </c>
      <c r="C95" s="31"/>
      <c r="D95" s="23"/>
      <c r="E95" s="25"/>
      <c r="F95" s="23"/>
      <c r="G95" s="32" t="str">
        <f aca="false">IF(AND(A95=WhatsApp!$C$5,C95&lt;&gt;"",D95&lt;&gt;"Yes"),COUNTIFS($A$6:A95,WhatsApp!$C$5,$C$6:C95,"&lt;&gt;",$D$6:D95,"&lt;&gt;Yes"),"")</f>
        <v/>
      </c>
    </row>
    <row r="96" customFormat="false" ht="15" hidden="false" customHeight="false" outlineLevel="0" collapsed="false">
      <c r="A96" s="30"/>
      <c r="B96" s="21" t="str">
        <f aca="false">IF(A96="","",IFERROR(INDEX(Stages!$B$6:$B$15,A96),""))</f>
        <v/>
      </c>
      <c r="C96" s="31"/>
      <c r="D96" s="23"/>
      <c r="E96" s="25"/>
      <c r="F96" s="23"/>
      <c r="G96" s="32" t="str">
        <f aca="false">IF(AND(A96=WhatsApp!$C$5,C96&lt;&gt;"",D96&lt;&gt;"Yes"),COUNTIFS($A$6:A96,WhatsApp!$C$5,$C$6:C96,"&lt;&gt;",$D$6:D96,"&lt;&gt;Yes"),"")</f>
        <v/>
      </c>
    </row>
    <row r="97" customFormat="false" ht="15" hidden="false" customHeight="false" outlineLevel="0" collapsed="false">
      <c r="A97" s="30"/>
      <c r="B97" s="21" t="str">
        <f aca="false">IF(A97="","",IFERROR(INDEX(Stages!$B$6:$B$15,A97),""))</f>
        <v/>
      </c>
      <c r="C97" s="31"/>
      <c r="D97" s="23"/>
      <c r="E97" s="25"/>
      <c r="F97" s="23"/>
      <c r="G97" s="32" t="str">
        <f aca="false">IF(AND(A97=WhatsApp!$C$5,C97&lt;&gt;"",D97&lt;&gt;"Yes"),COUNTIFS($A$6:A97,WhatsApp!$C$5,$C$6:C97,"&lt;&gt;",$D$6:D97,"&lt;&gt;Yes"),"")</f>
        <v/>
      </c>
    </row>
    <row r="98" customFormat="false" ht="15" hidden="false" customHeight="false" outlineLevel="0" collapsed="false">
      <c r="A98" s="30"/>
      <c r="B98" s="21" t="str">
        <f aca="false">IF(A98="","",IFERROR(INDEX(Stages!$B$6:$B$15,A98),""))</f>
        <v/>
      </c>
      <c r="C98" s="31"/>
      <c r="D98" s="23"/>
      <c r="E98" s="25"/>
      <c r="F98" s="23"/>
      <c r="G98" s="32" t="str">
        <f aca="false">IF(AND(A98=WhatsApp!$C$5,C98&lt;&gt;"",D98&lt;&gt;"Yes"),COUNTIFS($A$6:A98,WhatsApp!$C$5,$C$6:C98,"&lt;&gt;",$D$6:D98,"&lt;&gt;Yes"),"")</f>
        <v/>
      </c>
    </row>
    <row r="99" customFormat="false" ht="15" hidden="false" customHeight="false" outlineLevel="0" collapsed="false">
      <c r="A99" s="30"/>
      <c r="B99" s="21" t="str">
        <f aca="false">IF(A99="","",IFERROR(INDEX(Stages!$B$6:$B$15,A99),""))</f>
        <v/>
      </c>
      <c r="C99" s="31"/>
      <c r="D99" s="23"/>
      <c r="E99" s="25"/>
      <c r="F99" s="23"/>
      <c r="G99" s="32" t="str">
        <f aca="false">IF(AND(A99=WhatsApp!$C$5,C99&lt;&gt;"",D99&lt;&gt;"Yes"),COUNTIFS($A$6:A99,WhatsApp!$C$5,$C$6:C99,"&lt;&gt;",$D$6:D99,"&lt;&gt;Yes"),"")</f>
        <v/>
      </c>
    </row>
    <row r="100" customFormat="false" ht="15" hidden="false" customHeight="false" outlineLevel="0" collapsed="false">
      <c r="A100" s="30"/>
      <c r="B100" s="21" t="str">
        <f aca="false">IF(A100="","",IFERROR(INDEX(Stages!$B$6:$B$15,A100),""))</f>
        <v/>
      </c>
      <c r="C100" s="31"/>
      <c r="D100" s="23"/>
      <c r="E100" s="25"/>
      <c r="F100" s="23"/>
      <c r="G100" s="32" t="str">
        <f aca="false">IF(AND(A100=WhatsApp!$C$5,C100&lt;&gt;"",D100&lt;&gt;"Yes"),COUNTIFS($A$6:A100,WhatsApp!$C$5,$C$6:C100,"&lt;&gt;",$D$6:D100,"&lt;&gt;Yes"),"")</f>
        <v/>
      </c>
    </row>
    <row r="101" customFormat="false" ht="15" hidden="false" customHeight="false" outlineLevel="0" collapsed="false">
      <c r="A101" s="30"/>
      <c r="B101" s="21" t="str">
        <f aca="false">IF(A101="","",IFERROR(INDEX(Stages!$B$6:$B$15,A101),""))</f>
        <v/>
      </c>
      <c r="C101" s="31"/>
      <c r="D101" s="23"/>
      <c r="E101" s="25"/>
      <c r="F101" s="23"/>
      <c r="G101" s="32" t="str">
        <f aca="false">IF(AND(A101=WhatsApp!$C$5,C101&lt;&gt;"",D101&lt;&gt;"Yes"),COUNTIFS($A$6:A101,WhatsApp!$C$5,$C$6:C101,"&lt;&gt;",$D$6:D101,"&lt;&gt;Yes"),"")</f>
        <v/>
      </c>
    </row>
    <row r="102" customFormat="false" ht="15" hidden="false" customHeight="false" outlineLevel="0" collapsed="false">
      <c r="A102" s="30"/>
      <c r="B102" s="21" t="str">
        <f aca="false">IF(A102="","",IFERROR(INDEX(Stages!$B$6:$B$15,A102),""))</f>
        <v/>
      </c>
      <c r="C102" s="31"/>
      <c r="D102" s="23"/>
      <c r="E102" s="25"/>
      <c r="F102" s="23"/>
      <c r="G102" s="32" t="str">
        <f aca="false">IF(AND(A102=WhatsApp!$C$5,C102&lt;&gt;"",D102&lt;&gt;"Yes"),COUNTIFS($A$6:A102,WhatsApp!$C$5,$C$6:C102,"&lt;&gt;",$D$6:D102,"&lt;&gt;Yes"),"")</f>
        <v/>
      </c>
    </row>
    <row r="103" customFormat="false" ht="15" hidden="false" customHeight="false" outlineLevel="0" collapsed="false">
      <c r="A103" s="30"/>
      <c r="B103" s="21" t="str">
        <f aca="false">IF(A103="","",IFERROR(INDEX(Stages!$B$6:$B$15,A103),""))</f>
        <v/>
      </c>
      <c r="C103" s="31"/>
      <c r="D103" s="23"/>
      <c r="E103" s="25"/>
      <c r="F103" s="23"/>
      <c r="G103" s="32" t="str">
        <f aca="false">IF(AND(A103=WhatsApp!$C$5,C103&lt;&gt;"",D103&lt;&gt;"Yes"),COUNTIFS($A$6:A103,WhatsApp!$C$5,$C$6:C103,"&lt;&gt;",$D$6:D103,"&lt;&gt;Yes"),"")</f>
        <v/>
      </c>
    </row>
    <row r="104" customFormat="false" ht="15" hidden="false" customHeight="false" outlineLevel="0" collapsed="false">
      <c r="A104" s="30"/>
      <c r="B104" s="21" t="str">
        <f aca="false">IF(A104="","",IFERROR(INDEX(Stages!$B$6:$B$15,A104),""))</f>
        <v/>
      </c>
      <c r="C104" s="31"/>
      <c r="D104" s="23"/>
      <c r="E104" s="25"/>
      <c r="F104" s="23"/>
      <c r="G104" s="32" t="str">
        <f aca="false">IF(AND(A104=WhatsApp!$C$5,C104&lt;&gt;"",D104&lt;&gt;"Yes"),COUNTIFS($A$6:A104,WhatsApp!$C$5,$C$6:C104,"&lt;&gt;",$D$6:D104,"&lt;&gt;Yes"),"")</f>
        <v/>
      </c>
    </row>
    <row r="105" customFormat="false" ht="15" hidden="false" customHeight="false" outlineLevel="0" collapsed="false">
      <c r="A105" s="30"/>
      <c r="B105" s="21" t="str">
        <f aca="false">IF(A105="","",IFERROR(INDEX(Stages!$B$6:$B$15,A105),""))</f>
        <v/>
      </c>
      <c r="C105" s="31"/>
      <c r="D105" s="23"/>
      <c r="E105" s="25"/>
      <c r="F105" s="23"/>
      <c r="G105" s="32" t="str">
        <f aca="false">IF(AND(A105=WhatsApp!$C$5,C105&lt;&gt;"",D105&lt;&gt;"Yes"),COUNTIFS($A$6:A105,WhatsApp!$C$5,$C$6:C105,"&lt;&gt;",$D$6:D105,"&lt;&gt;Yes"),"")</f>
        <v/>
      </c>
    </row>
    <row r="106" customFormat="false" ht="15" hidden="false" customHeight="false" outlineLevel="0" collapsed="false">
      <c r="A106" s="30"/>
      <c r="B106" s="21" t="str">
        <f aca="false">IF(A106="","",IFERROR(INDEX(Stages!$B$6:$B$15,A106),""))</f>
        <v/>
      </c>
      <c r="C106" s="31"/>
      <c r="D106" s="23"/>
      <c r="E106" s="25"/>
      <c r="F106" s="23"/>
      <c r="G106" s="32" t="str">
        <f aca="false">IF(AND(A106=WhatsApp!$C$5,C106&lt;&gt;"",D106&lt;&gt;"Yes"),COUNTIFS($A$6:A106,WhatsApp!$C$5,$C$6:C106,"&lt;&gt;",$D$6:D106,"&lt;&gt;Yes"),"")</f>
        <v/>
      </c>
    </row>
    <row r="107" customFormat="false" ht="15" hidden="false" customHeight="false" outlineLevel="0" collapsed="false">
      <c r="A107" s="30"/>
      <c r="B107" s="21" t="str">
        <f aca="false">IF(A107="","",IFERROR(INDEX(Stages!$B$6:$B$15,A107),""))</f>
        <v/>
      </c>
      <c r="C107" s="31"/>
      <c r="D107" s="23"/>
      <c r="E107" s="25"/>
      <c r="F107" s="23"/>
      <c r="G107" s="32" t="str">
        <f aca="false">IF(AND(A107=WhatsApp!$C$5,C107&lt;&gt;"",D107&lt;&gt;"Yes"),COUNTIFS($A$6:A107,WhatsApp!$C$5,$C$6:C107,"&lt;&gt;",$D$6:D107,"&lt;&gt;Yes"),"")</f>
        <v/>
      </c>
    </row>
    <row r="108" customFormat="false" ht="15" hidden="false" customHeight="false" outlineLevel="0" collapsed="false">
      <c r="A108" s="30"/>
      <c r="B108" s="21" t="str">
        <f aca="false">IF(A108="","",IFERROR(INDEX(Stages!$B$6:$B$15,A108),""))</f>
        <v/>
      </c>
      <c r="C108" s="31"/>
      <c r="D108" s="23"/>
      <c r="E108" s="25"/>
      <c r="F108" s="23"/>
      <c r="G108" s="32" t="str">
        <f aca="false">IF(AND(A108=WhatsApp!$C$5,C108&lt;&gt;"",D108&lt;&gt;"Yes"),COUNTIFS($A$6:A108,WhatsApp!$C$5,$C$6:C108,"&lt;&gt;",$D$6:D108,"&lt;&gt;Yes"),"")</f>
        <v/>
      </c>
    </row>
    <row r="109" customFormat="false" ht="15" hidden="false" customHeight="false" outlineLevel="0" collapsed="false">
      <c r="A109" s="30"/>
      <c r="B109" s="21" t="str">
        <f aca="false">IF(A109="","",IFERROR(INDEX(Stages!$B$6:$B$15,A109),""))</f>
        <v/>
      </c>
      <c r="C109" s="31"/>
      <c r="D109" s="23"/>
      <c r="E109" s="25"/>
      <c r="F109" s="23"/>
      <c r="G109" s="32" t="str">
        <f aca="false">IF(AND(A109=WhatsApp!$C$5,C109&lt;&gt;"",D109&lt;&gt;"Yes"),COUNTIFS($A$6:A109,WhatsApp!$C$5,$C$6:C109,"&lt;&gt;",$D$6:D109,"&lt;&gt;Yes"),"")</f>
        <v/>
      </c>
    </row>
    <row r="110" customFormat="false" ht="15" hidden="false" customHeight="false" outlineLevel="0" collapsed="false">
      <c r="A110" s="30"/>
      <c r="B110" s="21" t="str">
        <f aca="false">IF(A110="","",IFERROR(INDEX(Stages!$B$6:$B$15,A110),""))</f>
        <v/>
      </c>
      <c r="C110" s="31"/>
      <c r="D110" s="23"/>
      <c r="E110" s="25"/>
      <c r="F110" s="23"/>
      <c r="G110" s="32" t="str">
        <f aca="false">IF(AND(A110=WhatsApp!$C$5,C110&lt;&gt;"",D110&lt;&gt;"Yes"),COUNTIFS($A$6:A110,WhatsApp!$C$5,$C$6:C110,"&lt;&gt;",$D$6:D110,"&lt;&gt;Yes"),"")</f>
        <v/>
      </c>
    </row>
    <row r="111" customFormat="false" ht="15" hidden="false" customHeight="false" outlineLevel="0" collapsed="false">
      <c r="A111" s="30"/>
      <c r="B111" s="21" t="str">
        <f aca="false">IF(A111="","",IFERROR(INDEX(Stages!$B$6:$B$15,A111),""))</f>
        <v/>
      </c>
      <c r="C111" s="31"/>
      <c r="D111" s="23"/>
      <c r="E111" s="25"/>
      <c r="F111" s="23"/>
      <c r="G111" s="32" t="str">
        <f aca="false">IF(AND(A111=WhatsApp!$C$5,C111&lt;&gt;"",D111&lt;&gt;"Yes"),COUNTIFS($A$6:A111,WhatsApp!$C$5,$C$6:C111,"&lt;&gt;",$D$6:D111,"&lt;&gt;Yes"),"")</f>
        <v/>
      </c>
    </row>
    <row r="112" customFormat="false" ht="15" hidden="false" customHeight="false" outlineLevel="0" collapsed="false">
      <c r="A112" s="30"/>
      <c r="B112" s="21" t="str">
        <f aca="false">IF(A112="","",IFERROR(INDEX(Stages!$B$6:$B$15,A112),""))</f>
        <v/>
      </c>
      <c r="C112" s="31"/>
      <c r="D112" s="23"/>
      <c r="E112" s="25"/>
      <c r="F112" s="23"/>
      <c r="G112" s="32" t="str">
        <f aca="false">IF(AND(A112=WhatsApp!$C$5,C112&lt;&gt;"",D112&lt;&gt;"Yes"),COUNTIFS($A$6:A112,WhatsApp!$C$5,$C$6:C112,"&lt;&gt;",$D$6:D112,"&lt;&gt;Yes"),"")</f>
        <v/>
      </c>
    </row>
    <row r="113" customFormat="false" ht="15" hidden="false" customHeight="false" outlineLevel="0" collapsed="false">
      <c r="A113" s="30"/>
      <c r="B113" s="21" t="str">
        <f aca="false">IF(A113="","",IFERROR(INDEX(Stages!$B$6:$B$15,A113),""))</f>
        <v/>
      </c>
      <c r="C113" s="31"/>
      <c r="D113" s="23"/>
      <c r="E113" s="25"/>
      <c r="F113" s="23"/>
      <c r="G113" s="32" t="str">
        <f aca="false">IF(AND(A113=WhatsApp!$C$5,C113&lt;&gt;"",D113&lt;&gt;"Yes"),COUNTIFS($A$6:A113,WhatsApp!$C$5,$C$6:C113,"&lt;&gt;",$D$6:D113,"&lt;&gt;Yes"),"")</f>
        <v/>
      </c>
    </row>
    <row r="114" customFormat="false" ht="15" hidden="false" customHeight="false" outlineLevel="0" collapsed="false">
      <c r="A114" s="30"/>
      <c r="B114" s="21" t="str">
        <f aca="false">IF(A114="","",IFERROR(INDEX(Stages!$B$6:$B$15,A114),""))</f>
        <v/>
      </c>
      <c r="C114" s="31"/>
      <c r="D114" s="23"/>
      <c r="E114" s="25"/>
      <c r="F114" s="23"/>
      <c r="G114" s="32" t="str">
        <f aca="false">IF(AND(A114=WhatsApp!$C$5,C114&lt;&gt;"",D114&lt;&gt;"Yes"),COUNTIFS($A$6:A114,WhatsApp!$C$5,$C$6:C114,"&lt;&gt;",$D$6:D114,"&lt;&gt;Yes"),"")</f>
        <v/>
      </c>
    </row>
    <row r="115" customFormat="false" ht="15" hidden="false" customHeight="false" outlineLevel="0" collapsed="false">
      <c r="A115" s="30"/>
      <c r="B115" s="21" t="str">
        <f aca="false">IF(A115="","",IFERROR(INDEX(Stages!$B$6:$B$15,A115),""))</f>
        <v/>
      </c>
      <c r="C115" s="31"/>
      <c r="D115" s="23"/>
      <c r="E115" s="25"/>
      <c r="F115" s="23"/>
      <c r="G115" s="32" t="str">
        <f aca="false">IF(AND(A115=WhatsApp!$C$5,C115&lt;&gt;"",D115&lt;&gt;"Yes"),COUNTIFS($A$6:A115,WhatsApp!$C$5,$C$6:C115,"&lt;&gt;",$D$6:D115,"&lt;&gt;Yes"),"")</f>
        <v/>
      </c>
    </row>
    <row r="116" customFormat="false" ht="15" hidden="false" customHeight="false" outlineLevel="0" collapsed="false">
      <c r="A116" s="30"/>
      <c r="B116" s="21" t="str">
        <f aca="false">IF(A116="","",IFERROR(INDEX(Stages!$B$6:$B$15,A116),""))</f>
        <v/>
      </c>
      <c r="C116" s="31"/>
      <c r="D116" s="23"/>
      <c r="E116" s="25"/>
      <c r="F116" s="23"/>
      <c r="G116" s="32" t="str">
        <f aca="false">IF(AND(A116=WhatsApp!$C$5,C116&lt;&gt;"",D116&lt;&gt;"Yes"),COUNTIFS($A$6:A116,WhatsApp!$C$5,$C$6:C116,"&lt;&gt;",$D$6:D116,"&lt;&gt;Yes"),"")</f>
        <v/>
      </c>
    </row>
    <row r="117" customFormat="false" ht="15" hidden="false" customHeight="false" outlineLevel="0" collapsed="false">
      <c r="A117" s="30"/>
      <c r="B117" s="21" t="str">
        <f aca="false">IF(A117="","",IFERROR(INDEX(Stages!$B$6:$B$15,A117),""))</f>
        <v/>
      </c>
      <c r="C117" s="31"/>
      <c r="D117" s="23"/>
      <c r="E117" s="25"/>
      <c r="F117" s="23"/>
      <c r="G117" s="32" t="str">
        <f aca="false">IF(AND(A117=WhatsApp!$C$5,C117&lt;&gt;"",D117&lt;&gt;"Yes"),COUNTIFS($A$6:A117,WhatsApp!$C$5,$C$6:C117,"&lt;&gt;",$D$6:D117,"&lt;&gt;Yes"),"")</f>
        <v/>
      </c>
    </row>
    <row r="118" customFormat="false" ht="15" hidden="false" customHeight="false" outlineLevel="0" collapsed="false">
      <c r="A118" s="30"/>
      <c r="B118" s="21" t="str">
        <f aca="false">IF(A118="","",IFERROR(INDEX(Stages!$B$6:$B$15,A118),""))</f>
        <v/>
      </c>
      <c r="C118" s="31"/>
      <c r="D118" s="23"/>
      <c r="E118" s="25"/>
      <c r="F118" s="23"/>
      <c r="G118" s="32" t="str">
        <f aca="false">IF(AND(A118=WhatsApp!$C$5,C118&lt;&gt;"",D118&lt;&gt;"Yes"),COUNTIFS($A$6:A118,WhatsApp!$C$5,$C$6:C118,"&lt;&gt;",$D$6:D118,"&lt;&gt;Yes"),"")</f>
        <v/>
      </c>
    </row>
    <row r="119" customFormat="false" ht="15" hidden="false" customHeight="false" outlineLevel="0" collapsed="false">
      <c r="A119" s="30"/>
      <c r="B119" s="21" t="str">
        <f aca="false">IF(A119="","",IFERROR(INDEX(Stages!$B$6:$B$15,A119),""))</f>
        <v/>
      </c>
      <c r="C119" s="31"/>
      <c r="D119" s="23"/>
      <c r="E119" s="25"/>
      <c r="F119" s="23"/>
      <c r="G119" s="32" t="str">
        <f aca="false">IF(AND(A119=WhatsApp!$C$5,C119&lt;&gt;"",D119&lt;&gt;"Yes"),COUNTIFS($A$6:A119,WhatsApp!$C$5,$C$6:C119,"&lt;&gt;",$D$6:D119,"&lt;&gt;Yes"),"")</f>
        <v/>
      </c>
    </row>
    <row r="120" customFormat="false" ht="15" hidden="false" customHeight="false" outlineLevel="0" collapsed="false">
      <c r="A120" s="30"/>
      <c r="B120" s="21" t="str">
        <f aca="false">IF(A120="","",IFERROR(INDEX(Stages!$B$6:$B$15,A120),""))</f>
        <v/>
      </c>
      <c r="C120" s="31"/>
      <c r="D120" s="23"/>
      <c r="E120" s="25"/>
      <c r="F120" s="23"/>
      <c r="G120" s="32" t="str">
        <f aca="false">IF(AND(A120=WhatsApp!$C$5,C120&lt;&gt;"",D120&lt;&gt;"Yes"),COUNTIFS($A$6:A120,WhatsApp!$C$5,$C$6:C120,"&lt;&gt;",$D$6:D120,"&lt;&gt;Yes"),"")</f>
        <v/>
      </c>
    </row>
    <row r="121" customFormat="false" ht="15" hidden="false" customHeight="false" outlineLevel="0" collapsed="false">
      <c r="A121" s="30"/>
      <c r="B121" s="21" t="str">
        <f aca="false">IF(A121="","",IFERROR(INDEX(Stages!$B$6:$B$15,A121),""))</f>
        <v/>
      </c>
      <c r="C121" s="31"/>
      <c r="D121" s="23"/>
      <c r="E121" s="25"/>
      <c r="F121" s="23"/>
      <c r="G121" s="32" t="str">
        <f aca="false">IF(AND(A121=WhatsApp!$C$5,C121&lt;&gt;"",D121&lt;&gt;"Yes"),COUNTIFS($A$6:A121,WhatsApp!$C$5,$C$6:C121,"&lt;&gt;",$D$6:D121,"&lt;&gt;Yes"),"")</f>
        <v/>
      </c>
    </row>
    <row r="122" customFormat="false" ht="15" hidden="false" customHeight="false" outlineLevel="0" collapsed="false">
      <c r="A122" s="30"/>
      <c r="B122" s="21" t="str">
        <f aca="false">IF(A122="","",IFERROR(INDEX(Stages!$B$6:$B$15,A122),""))</f>
        <v/>
      </c>
      <c r="C122" s="31"/>
      <c r="D122" s="23"/>
      <c r="E122" s="25"/>
      <c r="F122" s="23"/>
      <c r="G122" s="32" t="str">
        <f aca="false">IF(AND(A122=WhatsApp!$C$5,C122&lt;&gt;"",D122&lt;&gt;"Yes"),COUNTIFS($A$6:A122,WhatsApp!$C$5,$C$6:C122,"&lt;&gt;",$D$6:D122,"&lt;&gt;Yes"),"")</f>
        <v/>
      </c>
    </row>
    <row r="123" customFormat="false" ht="15" hidden="false" customHeight="false" outlineLevel="0" collapsed="false">
      <c r="A123" s="30"/>
      <c r="B123" s="21" t="str">
        <f aca="false">IF(A123="","",IFERROR(INDEX(Stages!$B$6:$B$15,A123),""))</f>
        <v/>
      </c>
      <c r="C123" s="31"/>
      <c r="D123" s="23"/>
      <c r="E123" s="25"/>
      <c r="F123" s="23"/>
      <c r="G123" s="32" t="str">
        <f aca="false">IF(AND(A123=WhatsApp!$C$5,C123&lt;&gt;"",D123&lt;&gt;"Yes"),COUNTIFS($A$6:A123,WhatsApp!$C$5,$C$6:C123,"&lt;&gt;",$D$6:D123,"&lt;&gt;Yes"),"")</f>
        <v/>
      </c>
    </row>
    <row r="124" customFormat="false" ht="15" hidden="false" customHeight="false" outlineLevel="0" collapsed="false">
      <c r="A124" s="30"/>
      <c r="B124" s="21" t="str">
        <f aca="false">IF(A124="","",IFERROR(INDEX(Stages!$B$6:$B$15,A124),""))</f>
        <v/>
      </c>
      <c r="C124" s="31"/>
      <c r="D124" s="23"/>
      <c r="E124" s="25"/>
      <c r="F124" s="23"/>
      <c r="G124" s="32" t="str">
        <f aca="false">IF(AND(A124=WhatsApp!$C$5,C124&lt;&gt;"",D124&lt;&gt;"Yes"),COUNTIFS($A$6:A124,WhatsApp!$C$5,$C$6:C124,"&lt;&gt;",$D$6:D124,"&lt;&gt;Yes"),"")</f>
        <v/>
      </c>
    </row>
    <row r="125" customFormat="false" ht="15" hidden="false" customHeight="false" outlineLevel="0" collapsed="false">
      <c r="A125" s="30"/>
      <c r="B125" s="21" t="str">
        <f aca="false">IF(A125="","",IFERROR(INDEX(Stages!$B$6:$B$15,A125),""))</f>
        <v/>
      </c>
      <c r="C125" s="31"/>
      <c r="D125" s="23"/>
      <c r="E125" s="25"/>
      <c r="F125" s="23"/>
      <c r="G125" s="32" t="str">
        <f aca="false">IF(AND(A125=WhatsApp!$C$5,C125&lt;&gt;"",D125&lt;&gt;"Yes"),COUNTIFS($A$6:A125,WhatsApp!$C$5,$C$6:C125,"&lt;&gt;",$D$6:D125,"&lt;&gt;Yes"),"")</f>
        <v/>
      </c>
    </row>
    <row r="126" customFormat="false" ht="15" hidden="false" customHeight="false" outlineLevel="0" collapsed="false">
      <c r="A126" s="30"/>
      <c r="B126" s="21" t="str">
        <f aca="false">IF(A126="","",IFERROR(INDEX(Stages!$B$6:$B$15,A126),""))</f>
        <v/>
      </c>
      <c r="C126" s="31"/>
      <c r="D126" s="23"/>
      <c r="E126" s="25"/>
      <c r="F126" s="23"/>
      <c r="G126" s="32" t="str">
        <f aca="false">IF(AND(A126=WhatsApp!$C$5,C126&lt;&gt;"",D126&lt;&gt;"Yes"),COUNTIFS($A$6:A126,WhatsApp!$C$5,$C$6:C126,"&lt;&gt;",$D$6:D126,"&lt;&gt;Yes"),"")</f>
        <v/>
      </c>
    </row>
    <row r="127" customFormat="false" ht="15" hidden="false" customHeight="false" outlineLevel="0" collapsed="false">
      <c r="A127" s="30"/>
      <c r="B127" s="21" t="str">
        <f aca="false">IF(A127="","",IFERROR(INDEX(Stages!$B$6:$B$15,A127),""))</f>
        <v/>
      </c>
      <c r="C127" s="31"/>
      <c r="D127" s="23"/>
      <c r="E127" s="25"/>
      <c r="F127" s="23"/>
      <c r="G127" s="32" t="str">
        <f aca="false">IF(AND(A127=WhatsApp!$C$5,C127&lt;&gt;"",D127&lt;&gt;"Yes"),COUNTIFS($A$6:A127,WhatsApp!$C$5,$C$6:C127,"&lt;&gt;",$D$6:D127,"&lt;&gt;Yes"),"")</f>
        <v/>
      </c>
    </row>
    <row r="128" customFormat="false" ht="15" hidden="false" customHeight="false" outlineLevel="0" collapsed="false">
      <c r="A128" s="30"/>
      <c r="B128" s="21" t="str">
        <f aca="false">IF(A128="","",IFERROR(INDEX(Stages!$B$6:$B$15,A128),""))</f>
        <v/>
      </c>
      <c r="C128" s="31"/>
      <c r="D128" s="23"/>
      <c r="E128" s="25"/>
      <c r="F128" s="23"/>
      <c r="G128" s="32" t="str">
        <f aca="false">IF(AND(A128=WhatsApp!$C$5,C128&lt;&gt;"",D128&lt;&gt;"Yes"),COUNTIFS($A$6:A128,WhatsApp!$C$5,$C$6:C128,"&lt;&gt;",$D$6:D128,"&lt;&gt;Yes"),"")</f>
        <v/>
      </c>
    </row>
    <row r="129" customFormat="false" ht="15" hidden="false" customHeight="false" outlineLevel="0" collapsed="false">
      <c r="A129" s="30"/>
      <c r="B129" s="21" t="str">
        <f aca="false">IF(A129="","",IFERROR(INDEX(Stages!$B$6:$B$15,A129),""))</f>
        <v/>
      </c>
      <c r="C129" s="31"/>
      <c r="D129" s="23"/>
      <c r="E129" s="25"/>
      <c r="F129" s="23"/>
      <c r="G129" s="32" t="str">
        <f aca="false">IF(AND(A129=WhatsApp!$C$5,C129&lt;&gt;"",D129&lt;&gt;"Yes"),COUNTIFS($A$6:A129,WhatsApp!$C$5,$C$6:C129,"&lt;&gt;",$D$6:D129,"&lt;&gt;Yes"),"")</f>
        <v/>
      </c>
    </row>
    <row r="130" customFormat="false" ht="15" hidden="false" customHeight="false" outlineLevel="0" collapsed="false">
      <c r="A130" s="30"/>
      <c r="B130" s="21" t="str">
        <f aca="false">IF(A130="","",IFERROR(INDEX(Stages!$B$6:$B$15,A130),""))</f>
        <v/>
      </c>
      <c r="C130" s="31"/>
      <c r="D130" s="23"/>
      <c r="E130" s="25"/>
      <c r="F130" s="23"/>
      <c r="G130" s="32" t="str">
        <f aca="false">IF(AND(A130=WhatsApp!$C$5,C130&lt;&gt;"",D130&lt;&gt;"Yes"),COUNTIFS($A$6:A130,WhatsApp!$C$5,$C$6:C130,"&lt;&gt;",$D$6:D130,"&lt;&gt;Yes"),"")</f>
        <v/>
      </c>
    </row>
    <row r="131" customFormat="false" ht="15" hidden="false" customHeight="false" outlineLevel="0" collapsed="false">
      <c r="A131" s="30"/>
      <c r="B131" s="21" t="str">
        <f aca="false">IF(A131="","",IFERROR(INDEX(Stages!$B$6:$B$15,A131),""))</f>
        <v/>
      </c>
      <c r="C131" s="31"/>
      <c r="D131" s="23"/>
      <c r="E131" s="25"/>
      <c r="F131" s="23"/>
      <c r="G131" s="32" t="str">
        <f aca="false">IF(AND(A131=WhatsApp!$C$5,C131&lt;&gt;"",D131&lt;&gt;"Yes"),COUNTIFS($A$6:A131,WhatsApp!$C$5,$C$6:C131,"&lt;&gt;",$D$6:D131,"&lt;&gt;Yes"),"")</f>
        <v/>
      </c>
    </row>
    <row r="132" customFormat="false" ht="15" hidden="false" customHeight="false" outlineLevel="0" collapsed="false">
      <c r="A132" s="30"/>
      <c r="B132" s="21" t="str">
        <f aca="false">IF(A132="","",IFERROR(INDEX(Stages!$B$6:$B$15,A132),""))</f>
        <v/>
      </c>
      <c r="C132" s="31"/>
      <c r="D132" s="23"/>
      <c r="E132" s="25"/>
      <c r="F132" s="23"/>
      <c r="G132" s="32" t="str">
        <f aca="false">IF(AND(A132=WhatsApp!$C$5,C132&lt;&gt;"",D132&lt;&gt;"Yes"),COUNTIFS($A$6:A132,WhatsApp!$C$5,$C$6:C132,"&lt;&gt;",$D$6:D132,"&lt;&gt;Yes"),"")</f>
        <v/>
      </c>
    </row>
    <row r="133" customFormat="false" ht="15" hidden="false" customHeight="false" outlineLevel="0" collapsed="false">
      <c r="A133" s="30"/>
      <c r="B133" s="21" t="str">
        <f aca="false">IF(A133="","",IFERROR(INDEX(Stages!$B$6:$B$15,A133),""))</f>
        <v/>
      </c>
      <c r="C133" s="31"/>
      <c r="D133" s="23"/>
      <c r="E133" s="25"/>
      <c r="F133" s="23"/>
      <c r="G133" s="32" t="str">
        <f aca="false">IF(AND(A133=WhatsApp!$C$5,C133&lt;&gt;"",D133&lt;&gt;"Yes"),COUNTIFS($A$6:A133,WhatsApp!$C$5,$C$6:C133,"&lt;&gt;",$D$6:D133,"&lt;&gt;Yes"),"")</f>
        <v/>
      </c>
    </row>
    <row r="134" customFormat="false" ht="15" hidden="false" customHeight="false" outlineLevel="0" collapsed="false">
      <c r="A134" s="30"/>
      <c r="B134" s="21" t="str">
        <f aca="false">IF(A134="","",IFERROR(INDEX(Stages!$B$6:$B$15,A134),""))</f>
        <v/>
      </c>
      <c r="C134" s="31"/>
      <c r="D134" s="23"/>
      <c r="E134" s="25"/>
      <c r="F134" s="23"/>
      <c r="G134" s="32" t="str">
        <f aca="false">IF(AND(A134=WhatsApp!$C$5,C134&lt;&gt;"",D134&lt;&gt;"Yes"),COUNTIFS($A$6:A134,WhatsApp!$C$5,$C$6:C134,"&lt;&gt;",$D$6:D134,"&lt;&gt;Yes"),"")</f>
        <v/>
      </c>
    </row>
    <row r="135" customFormat="false" ht="15" hidden="false" customHeight="false" outlineLevel="0" collapsed="false">
      <c r="A135" s="30"/>
      <c r="B135" s="21" t="str">
        <f aca="false">IF(A135="","",IFERROR(INDEX(Stages!$B$6:$B$15,A135),""))</f>
        <v/>
      </c>
      <c r="C135" s="31"/>
      <c r="D135" s="23"/>
      <c r="E135" s="25"/>
      <c r="F135" s="23"/>
      <c r="G135" s="32" t="str">
        <f aca="false">IF(AND(A135=WhatsApp!$C$5,C135&lt;&gt;"",D135&lt;&gt;"Yes"),COUNTIFS($A$6:A135,WhatsApp!$C$5,$C$6:C135,"&lt;&gt;",$D$6:D135,"&lt;&gt;Yes"),"")</f>
        <v/>
      </c>
    </row>
    <row r="136" customFormat="false" ht="15" hidden="false" customHeight="false" outlineLevel="0" collapsed="false">
      <c r="A136" s="30"/>
      <c r="B136" s="21" t="str">
        <f aca="false">IF(A136="","",IFERROR(INDEX(Stages!$B$6:$B$15,A136),""))</f>
        <v/>
      </c>
      <c r="C136" s="31"/>
      <c r="D136" s="23"/>
      <c r="E136" s="25"/>
      <c r="F136" s="23"/>
      <c r="G136" s="32" t="str">
        <f aca="false">IF(AND(A136=WhatsApp!$C$5,C136&lt;&gt;"",D136&lt;&gt;"Yes"),COUNTIFS($A$6:A136,WhatsApp!$C$5,$C$6:C136,"&lt;&gt;",$D$6:D136,"&lt;&gt;Yes"),"")</f>
        <v/>
      </c>
    </row>
    <row r="137" customFormat="false" ht="15" hidden="false" customHeight="false" outlineLevel="0" collapsed="false">
      <c r="A137" s="30"/>
      <c r="B137" s="21" t="str">
        <f aca="false">IF(A137="","",IFERROR(INDEX(Stages!$B$6:$B$15,A137),""))</f>
        <v/>
      </c>
      <c r="C137" s="31"/>
      <c r="D137" s="23"/>
      <c r="E137" s="25"/>
      <c r="F137" s="23"/>
      <c r="G137" s="32" t="str">
        <f aca="false">IF(AND(A137=WhatsApp!$C$5,C137&lt;&gt;"",D137&lt;&gt;"Yes"),COUNTIFS($A$6:A137,WhatsApp!$C$5,$C$6:C137,"&lt;&gt;",$D$6:D137,"&lt;&gt;Yes"),"")</f>
        <v/>
      </c>
    </row>
    <row r="138" customFormat="false" ht="15" hidden="false" customHeight="false" outlineLevel="0" collapsed="false">
      <c r="A138" s="30"/>
      <c r="B138" s="21" t="str">
        <f aca="false">IF(A138="","",IFERROR(INDEX(Stages!$B$6:$B$15,A138),""))</f>
        <v/>
      </c>
      <c r="C138" s="31"/>
      <c r="D138" s="23"/>
      <c r="E138" s="25"/>
      <c r="F138" s="23"/>
      <c r="G138" s="32" t="str">
        <f aca="false">IF(AND(A138=WhatsApp!$C$5,C138&lt;&gt;"",D138&lt;&gt;"Yes"),COUNTIFS($A$6:A138,WhatsApp!$C$5,$C$6:C138,"&lt;&gt;",$D$6:D138,"&lt;&gt;Yes"),"")</f>
        <v/>
      </c>
    </row>
    <row r="139" customFormat="false" ht="15" hidden="false" customHeight="false" outlineLevel="0" collapsed="false">
      <c r="A139" s="30"/>
      <c r="B139" s="21" t="str">
        <f aca="false">IF(A139="","",IFERROR(INDEX(Stages!$B$6:$B$15,A139),""))</f>
        <v/>
      </c>
      <c r="C139" s="31"/>
      <c r="D139" s="23"/>
      <c r="E139" s="25"/>
      <c r="F139" s="23"/>
      <c r="G139" s="32" t="str">
        <f aca="false">IF(AND(A139=WhatsApp!$C$5,C139&lt;&gt;"",D139&lt;&gt;"Yes"),COUNTIFS($A$6:A139,WhatsApp!$C$5,$C$6:C139,"&lt;&gt;",$D$6:D139,"&lt;&gt;Yes"),"")</f>
        <v/>
      </c>
    </row>
    <row r="140" customFormat="false" ht="15" hidden="false" customHeight="false" outlineLevel="0" collapsed="false">
      <c r="A140" s="30"/>
      <c r="B140" s="21" t="str">
        <f aca="false">IF(A140="","",IFERROR(INDEX(Stages!$B$6:$B$15,A140),""))</f>
        <v/>
      </c>
      <c r="C140" s="31"/>
      <c r="D140" s="23"/>
      <c r="E140" s="25"/>
      <c r="F140" s="23"/>
      <c r="G140" s="32" t="str">
        <f aca="false">IF(AND(A140=WhatsApp!$C$5,C140&lt;&gt;"",D140&lt;&gt;"Yes"),COUNTIFS($A$6:A140,WhatsApp!$C$5,$C$6:C140,"&lt;&gt;",$D$6:D140,"&lt;&gt;Yes"),"")</f>
        <v/>
      </c>
    </row>
    <row r="141" customFormat="false" ht="15" hidden="false" customHeight="false" outlineLevel="0" collapsed="false">
      <c r="A141" s="30"/>
      <c r="B141" s="21" t="str">
        <f aca="false">IF(A141="","",IFERROR(INDEX(Stages!$B$6:$B$15,A141),""))</f>
        <v/>
      </c>
      <c r="C141" s="31"/>
      <c r="D141" s="23"/>
      <c r="E141" s="25"/>
      <c r="F141" s="23"/>
      <c r="G141" s="32" t="str">
        <f aca="false">IF(AND(A141=WhatsApp!$C$5,C141&lt;&gt;"",D141&lt;&gt;"Yes"),COUNTIFS($A$6:A141,WhatsApp!$C$5,$C$6:C141,"&lt;&gt;",$D$6:D141,"&lt;&gt;Yes"),"")</f>
        <v/>
      </c>
    </row>
    <row r="142" customFormat="false" ht="15" hidden="false" customHeight="false" outlineLevel="0" collapsed="false">
      <c r="A142" s="30"/>
      <c r="B142" s="21" t="str">
        <f aca="false">IF(A142="","",IFERROR(INDEX(Stages!$B$6:$B$15,A142),""))</f>
        <v/>
      </c>
      <c r="C142" s="31"/>
      <c r="D142" s="23"/>
      <c r="E142" s="25"/>
      <c r="F142" s="23"/>
      <c r="G142" s="32" t="str">
        <f aca="false">IF(AND(A142=WhatsApp!$C$5,C142&lt;&gt;"",D142&lt;&gt;"Yes"),COUNTIFS($A$6:A142,WhatsApp!$C$5,$C$6:C142,"&lt;&gt;",$D$6:D142,"&lt;&gt;Yes"),"")</f>
        <v/>
      </c>
    </row>
    <row r="143" customFormat="false" ht="15" hidden="false" customHeight="false" outlineLevel="0" collapsed="false">
      <c r="A143" s="30"/>
      <c r="B143" s="21" t="str">
        <f aca="false">IF(A143="","",IFERROR(INDEX(Stages!$B$6:$B$15,A143),""))</f>
        <v/>
      </c>
      <c r="C143" s="31"/>
      <c r="D143" s="23"/>
      <c r="E143" s="25"/>
      <c r="F143" s="23"/>
      <c r="G143" s="32" t="str">
        <f aca="false">IF(AND(A143=WhatsApp!$C$5,C143&lt;&gt;"",D143&lt;&gt;"Yes"),COUNTIFS($A$6:A143,WhatsApp!$C$5,$C$6:C143,"&lt;&gt;",$D$6:D143,"&lt;&gt;Yes"),"")</f>
        <v/>
      </c>
    </row>
    <row r="144" customFormat="false" ht="15" hidden="false" customHeight="false" outlineLevel="0" collapsed="false">
      <c r="A144" s="30"/>
      <c r="B144" s="21" t="str">
        <f aca="false">IF(A144="","",IFERROR(INDEX(Stages!$B$6:$B$15,A144),""))</f>
        <v/>
      </c>
      <c r="C144" s="31"/>
      <c r="D144" s="23"/>
      <c r="E144" s="25"/>
      <c r="F144" s="23"/>
      <c r="G144" s="32" t="str">
        <f aca="false">IF(AND(A144=WhatsApp!$C$5,C144&lt;&gt;"",D144&lt;&gt;"Yes"),COUNTIFS($A$6:A144,WhatsApp!$C$5,$C$6:C144,"&lt;&gt;",$D$6:D144,"&lt;&gt;Yes"),"")</f>
        <v/>
      </c>
    </row>
    <row r="145" customFormat="false" ht="15" hidden="false" customHeight="false" outlineLevel="0" collapsed="false">
      <c r="A145" s="30"/>
      <c r="B145" s="21" t="str">
        <f aca="false">IF(A145="","",IFERROR(INDEX(Stages!$B$6:$B$15,A145),""))</f>
        <v/>
      </c>
      <c r="C145" s="31"/>
      <c r="D145" s="23"/>
      <c r="E145" s="25"/>
      <c r="F145" s="23"/>
      <c r="G145" s="32" t="str">
        <f aca="false">IF(AND(A145=WhatsApp!$C$5,C145&lt;&gt;"",D145&lt;&gt;"Yes"),COUNTIFS($A$6:A145,WhatsApp!$C$5,$C$6:C145,"&lt;&gt;",$D$6:D145,"&lt;&gt;Yes"),"")</f>
        <v/>
      </c>
    </row>
    <row r="146" customFormat="false" ht="15" hidden="false" customHeight="false" outlineLevel="0" collapsed="false">
      <c r="A146" s="30"/>
      <c r="B146" s="21" t="str">
        <f aca="false">IF(A146="","",IFERROR(INDEX(Stages!$B$6:$B$15,A146),""))</f>
        <v/>
      </c>
      <c r="C146" s="31"/>
      <c r="D146" s="23"/>
      <c r="E146" s="25"/>
      <c r="F146" s="23"/>
      <c r="G146" s="32" t="str">
        <f aca="false">IF(AND(A146=WhatsApp!$C$5,C146&lt;&gt;"",D146&lt;&gt;"Yes"),COUNTIFS($A$6:A146,WhatsApp!$C$5,$C$6:C146,"&lt;&gt;",$D$6:D146,"&lt;&gt;Yes"),"")</f>
        <v/>
      </c>
    </row>
    <row r="147" customFormat="false" ht="15" hidden="false" customHeight="false" outlineLevel="0" collapsed="false">
      <c r="A147" s="30"/>
      <c r="B147" s="21" t="str">
        <f aca="false">IF(A147="","",IFERROR(INDEX(Stages!$B$6:$B$15,A147),""))</f>
        <v/>
      </c>
      <c r="C147" s="31"/>
      <c r="D147" s="23"/>
      <c r="E147" s="25"/>
      <c r="F147" s="23"/>
      <c r="G147" s="32" t="str">
        <f aca="false">IF(AND(A147=WhatsApp!$C$5,C147&lt;&gt;"",D147&lt;&gt;"Yes"),COUNTIFS($A$6:A147,WhatsApp!$C$5,$C$6:C147,"&lt;&gt;",$D$6:D147,"&lt;&gt;Yes"),"")</f>
        <v/>
      </c>
    </row>
    <row r="148" customFormat="false" ht="15" hidden="false" customHeight="false" outlineLevel="0" collapsed="false">
      <c r="A148" s="30"/>
      <c r="B148" s="21" t="str">
        <f aca="false">IF(A148="","",IFERROR(INDEX(Stages!$B$6:$B$15,A148),""))</f>
        <v/>
      </c>
      <c r="C148" s="31"/>
      <c r="D148" s="23"/>
      <c r="E148" s="25"/>
      <c r="F148" s="23"/>
      <c r="G148" s="32" t="str">
        <f aca="false">IF(AND(A148=WhatsApp!$C$5,C148&lt;&gt;"",D148&lt;&gt;"Yes"),COUNTIFS($A$6:A148,WhatsApp!$C$5,$C$6:C148,"&lt;&gt;",$D$6:D148,"&lt;&gt;Yes"),"")</f>
        <v/>
      </c>
    </row>
    <row r="149" customFormat="false" ht="15" hidden="false" customHeight="false" outlineLevel="0" collapsed="false">
      <c r="A149" s="30"/>
      <c r="B149" s="21" t="str">
        <f aca="false">IF(A149="","",IFERROR(INDEX(Stages!$B$6:$B$15,A149),""))</f>
        <v/>
      </c>
      <c r="C149" s="31"/>
      <c r="D149" s="23"/>
      <c r="E149" s="25"/>
      <c r="F149" s="23"/>
      <c r="G149" s="32" t="str">
        <f aca="false">IF(AND(A149=WhatsApp!$C$5,C149&lt;&gt;"",D149&lt;&gt;"Yes"),COUNTIFS($A$6:A149,WhatsApp!$C$5,$C$6:C149,"&lt;&gt;",$D$6:D149,"&lt;&gt;Yes"),"")</f>
        <v/>
      </c>
    </row>
    <row r="150" customFormat="false" ht="15" hidden="false" customHeight="false" outlineLevel="0" collapsed="false">
      <c r="A150" s="30"/>
      <c r="B150" s="21" t="str">
        <f aca="false">IF(A150="","",IFERROR(INDEX(Stages!$B$6:$B$15,A150),""))</f>
        <v/>
      </c>
      <c r="C150" s="31"/>
      <c r="D150" s="23"/>
      <c r="E150" s="25"/>
      <c r="F150" s="23"/>
      <c r="G150" s="32" t="str">
        <f aca="false">IF(AND(A150=WhatsApp!$C$5,C150&lt;&gt;"",D150&lt;&gt;"Yes"),COUNTIFS($A$6:A150,WhatsApp!$C$5,$C$6:C150,"&lt;&gt;",$D$6:D150,"&lt;&gt;Yes"),"")</f>
        <v/>
      </c>
    </row>
    <row r="151" customFormat="false" ht="15" hidden="false" customHeight="false" outlineLevel="0" collapsed="false">
      <c r="A151" s="30"/>
      <c r="B151" s="21" t="str">
        <f aca="false">IF(A151="","",IFERROR(INDEX(Stages!$B$6:$B$15,A151),""))</f>
        <v/>
      </c>
      <c r="C151" s="31"/>
      <c r="D151" s="23"/>
      <c r="E151" s="25"/>
      <c r="F151" s="23"/>
      <c r="G151" s="32" t="str">
        <f aca="false">IF(AND(A151=WhatsApp!$C$5,C151&lt;&gt;"",D151&lt;&gt;"Yes"),COUNTIFS($A$6:A151,WhatsApp!$C$5,$C$6:C151,"&lt;&gt;",$D$6:D151,"&lt;&gt;Yes"),"")</f>
        <v/>
      </c>
    </row>
    <row r="152" customFormat="false" ht="15" hidden="false" customHeight="false" outlineLevel="0" collapsed="false">
      <c r="A152" s="30"/>
      <c r="B152" s="21" t="str">
        <f aca="false">IF(A152="","",IFERROR(INDEX(Stages!$B$6:$B$15,A152),""))</f>
        <v/>
      </c>
      <c r="C152" s="31"/>
      <c r="D152" s="23"/>
      <c r="E152" s="25"/>
      <c r="F152" s="23"/>
      <c r="G152" s="32" t="str">
        <f aca="false">IF(AND(A152=WhatsApp!$C$5,C152&lt;&gt;"",D152&lt;&gt;"Yes"),COUNTIFS($A$6:A152,WhatsApp!$C$5,$C$6:C152,"&lt;&gt;",$D$6:D152,"&lt;&gt;Yes"),"")</f>
        <v/>
      </c>
    </row>
    <row r="153" customFormat="false" ht="15" hidden="false" customHeight="false" outlineLevel="0" collapsed="false">
      <c r="A153" s="30"/>
      <c r="B153" s="21" t="str">
        <f aca="false">IF(A153="","",IFERROR(INDEX(Stages!$B$6:$B$15,A153),""))</f>
        <v/>
      </c>
      <c r="C153" s="31"/>
      <c r="D153" s="23"/>
      <c r="E153" s="25"/>
      <c r="F153" s="23"/>
      <c r="G153" s="32" t="str">
        <f aca="false">IF(AND(A153=WhatsApp!$C$5,C153&lt;&gt;"",D153&lt;&gt;"Yes"),COUNTIFS($A$6:A153,WhatsApp!$C$5,$C$6:C153,"&lt;&gt;",$D$6:D153,"&lt;&gt;Yes"),"")</f>
        <v/>
      </c>
    </row>
    <row r="154" customFormat="false" ht="15" hidden="false" customHeight="false" outlineLevel="0" collapsed="false">
      <c r="A154" s="30"/>
      <c r="B154" s="21" t="str">
        <f aca="false">IF(A154="","",IFERROR(INDEX(Stages!$B$6:$B$15,A154),""))</f>
        <v/>
      </c>
      <c r="C154" s="31"/>
      <c r="D154" s="23"/>
      <c r="E154" s="25"/>
      <c r="F154" s="23"/>
      <c r="G154" s="32" t="str">
        <f aca="false">IF(AND(A154=WhatsApp!$C$5,C154&lt;&gt;"",D154&lt;&gt;"Yes"),COUNTIFS($A$6:A154,WhatsApp!$C$5,$C$6:C154,"&lt;&gt;",$D$6:D154,"&lt;&gt;Yes"),"")</f>
        <v/>
      </c>
    </row>
    <row r="155" customFormat="false" ht="15" hidden="false" customHeight="false" outlineLevel="0" collapsed="false">
      <c r="A155" s="30"/>
      <c r="B155" s="21" t="str">
        <f aca="false">IF(A155="","",IFERROR(INDEX(Stages!$B$6:$B$15,A155),""))</f>
        <v/>
      </c>
      <c r="C155" s="31"/>
      <c r="D155" s="23"/>
      <c r="E155" s="25"/>
      <c r="F155" s="23"/>
      <c r="G155" s="32" t="str">
        <f aca="false">IF(AND(A155=WhatsApp!$C$5,C155&lt;&gt;"",D155&lt;&gt;"Yes"),COUNTIFS($A$6:A155,WhatsApp!$C$5,$C$6:C155,"&lt;&gt;",$D$6:D155,"&lt;&gt;Yes"),"")</f>
        <v/>
      </c>
    </row>
  </sheetData>
  <conditionalFormatting sqref="D6:D155">
    <cfRule type="expression" priority="2" aboveAverage="0" equalAverage="0" bottom="0" percent="0" rank="0" text="" dxfId="4">
      <formula>$D6="Yes"</formula>
    </cfRule>
  </conditionalFormatting>
  <conditionalFormatting sqref="A6:F155">
    <cfRule type="expression" priority="3" aboveAverage="0" equalAverage="0" bottom="0" percent="0" rank="0" text="" dxfId="7">
      <formula>AND($A6&lt;&gt;"",ISODD($A6))</formula>
    </cfRule>
  </conditionalFormatting>
  <dataValidations count="2">
    <dataValidation allowBlank="true" errorStyle="stop" operator="between" showDropDown="false" showErrorMessage="false" showInputMessage="false" sqref="D6:D155" type="list">
      <formula1>"Yes,No"</formula1>
      <formula2>0</formula2>
    </dataValidation>
    <dataValidation allowBlank="true" errorStyle="stop" operator="between" showDropDown="false" showErrorMessage="false" showInputMessage="false" sqref="A6:A155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22.0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5" customFormat="false" ht="15" hidden="false" customHeight="false" outlineLevel="0" collapsed="false">
      <c r="B5" s="12" t="s">
        <v>149</v>
      </c>
      <c r="C5" s="33" t="n">
        <f aca="false">IFERROR(MATCH(1,Stages!$K$6:$K$15,0),10)</f>
        <v>1</v>
      </c>
      <c r="D5" s="24" t="s">
        <v>150</v>
      </c>
    </row>
    <row r="6" customFormat="false" ht="15" hidden="false" customHeight="false" outlineLevel="0" collapsed="false">
      <c r="B6" s="12" t="s">
        <v>151</v>
      </c>
      <c r="C6" s="22" t="str">
        <f aca="false">IFERROR(INDEX(Stages!$B$6:$B$15,C5),"")</f>
        <v>Foundation &amp; footings</v>
      </c>
    </row>
    <row r="8" customFormat="false" ht="15" hidden="false" customHeight="false" outlineLevel="0" collapsed="false">
      <c r="B8" s="3" t="s">
        <v>152</v>
      </c>
    </row>
    <row r="9" customFormat="false" ht="15" hidden="false" customHeight="false" outlineLevel="0" collapsed="false">
      <c r="B9" s="34" t="n">
        <v>1</v>
      </c>
      <c r="C9" s="21" t="str">
        <f aca="false">IFERROR(INDEX('Proof Checklist'!$C$6:$C$155,MATCH(1,'Proof Checklist'!$G$6:$G$155,0)),"")</f>
        <v>Setting-out photo: pegs and strings match the approved plan</v>
      </c>
    </row>
    <row r="10" customFormat="false" ht="15" hidden="false" customHeight="false" outlineLevel="0" collapsed="false">
      <c r="B10" s="34" t="n">
        <v>2</v>
      </c>
      <c r="C10" s="21" t="str">
        <f aca="false">IFERROR(INDEX('Proof Checklist'!$C$6:$C$155,MATCH(2,'Proof Checklist'!$G$6:$G$155,0)),"")</f>
        <v>Trenches with a tape measure showing depth and width</v>
      </c>
    </row>
    <row r="11" customFormat="false" ht="15" hidden="false" customHeight="false" outlineLevel="0" collapsed="false">
      <c r="B11" s="34" t="n">
        <v>3</v>
      </c>
      <c r="C11" s="21" t="str">
        <f aca="false">IFERROR(INDEX('Proof Checklist'!$C$6:$C$155,MATCH(3,'Proof Checklist'!$G$6:$G$155,0)),"")</f>
        <v>Footings poured: photo of every trench</v>
      </c>
    </row>
    <row r="12" customFormat="false" ht="15" hidden="false" customHeight="false" outlineLevel="0" collapsed="false">
      <c r="B12" s="34" t="n">
        <v>4</v>
      </c>
      <c r="C12" s="21" t="str">
        <f aca="false">IFERROR(INDEX('Proof Checklist'!$C$6:$C$155,MATCH(4,'Proof Checklist'!$G$6:$G$155,0)),"")</f>
        <v>Foundation brickwork up to ground level: photo of each side</v>
      </c>
    </row>
    <row r="13" customFormat="false" ht="15" hidden="false" customHeight="false" outlineLevel="0" collapsed="false">
      <c r="B13" s="34" t="n">
        <v>5</v>
      </c>
      <c r="C13" s="21" t="str">
        <f aca="false">IFERROR(INDEX('Proof Checklist'!$C$6:$C$155,MATCH(5,'Proof Checklist'!$G$6:$G$155,0)),"")</f>
        <v>Video walking round the whole foundation</v>
      </c>
    </row>
    <row r="14" customFormat="false" ht="15" hidden="false" customHeight="false" outlineLevel="0" collapsed="false">
      <c r="B14" s="34" t="n">
        <v>6</v>
      </c>
      <c r="C14" s="21" t="str">
        <f aca="false">IFERROR(INDEX('Proof Checklist'!$C$6:$C$155,MATCH(6,'Proof Checklist'!$G$6:$G$155,0)),"")</f>
        <v>Receipts: cement, sand, stone, bricks</v>
      </c>
    </row>
    <row r="15" customFormat="false" ht="15" hidden="false" customHeight="false" outlineLevel="0" collapsed="false">
      <c r="B15" s="34" t="n">
        <v>7</v>
      </c>
      <c r="C15" s="21" t="str">
        <f aca="false">IFERROR(INDEX('Proof Checklist'!$C$6:$C$155,MATCH(7,'Proof Checklist'!$G$6:$G$155,0)),"")</f>
        <v/>
      </c>
    </row>
    <row r="16" customFormat="false" ht="15" hidden="false" customHeight="false" outlineLevel="0" collapsed="false">
      <c r="B16" s="34" t="n">
        <v>8</v>
      </c>
      <c r="C16" s="21" t="str">
        <f aca="false">IFERROR(INDEX('Proof Checklist'!$C$6:$C$155,MATCH(8,'Proof Checklist'!$G$6:$G$155,0)),"")</f>
        <v/>
      </c>
    </row>
    <row r="17" customFormat="false" ht="15" hidden="false" customHeight="false" outlineLevel="0" collapsed="false">
      <c r="B17" s="34" t="n">
        <v>9</v>
      </c>
      <c r="C17" s="21" t="str">
        <f aca="false">IFERROR(INDEX('Proof Checklist'!$C$6:$C$155,MATCH(9,'Proof Checklist'!$G$6:$G$155,0)),"")</f>
        <v/>
      </c>
    </row>
    <row r="18" customFormat="false" ht="15" hidden="false" customHeight="false" outlineLevel="0" collapsed="false">
      <c r="B18" s="34" t="n">
        <v>10</v>
      </c>
      <c r="C18" s="21" t="str">
        <f aca="false">IFERROR(INDEX('Proof Checklist'!$C$6:$C$155,MATCH(10,'Proof Checklist'!$G$6:$G$155,0)),"")</f>
        <v/>
      </c>
    </row>
    <row r="20" customFormat="false" ht="15" hidden="false" customHeight="false" outlineLevel="0" collapsed="false">
      <c r="B20" s="3" t="s">
        <v>153</v>
      </c>
    </row>
    <row r="21" customFormat="false" ht="189.75" hidden="false" customHeight="true" outlineLevel="0" collapsed="false">
      <c r="B21" s="35" t="s">
        <v>154</v>
      </c>
      <c r="C21" s="36" t="str">
        <f aca="false">IF(C9="","Hi "&amp;IF(Project!$B$6="","there",Project!$B$6)&amp;", thank you. All the proof for "&amp;LOWER(C6)&amp;" is in. I'll send the payment today.","Hi "&amp;IF(Project!$B$6="","there",Project!$B$6)&amp;", hope you and the team are well. Before I send the next payment for "&amp;LOWER(C6)&amp;", please send:"&amp;IF(C9="","",CHAR(10)&amp;"1. "&amp;C9)&amp;IF(C10="","",CHAR(10)&amp;"2. "&amp;C10)&amp;IF(C11="","",CHAR(10)&amp;"3. "&amp;C11)&amp;IF(C12="","",CHAR(10)&amp;"4. "&amp;C12)&amp;IF(C13="","",CHAR(10)&amp;"5. "&amp;C13)&amp;IF(C14="","",CHAR(10)&amp;"6. "&amp;C14)&amp;IF(C15="","",CHAR(10)&amp;"7. "&amp;C15)&amp;IF(C16="","",CHAR(10)&amp;"8. "&amp;C16)&amp;IF(C17="","",CHAR(10)&amp;"9. "&amp;C17)&amp;IF(C18="","",CHAR(10)&amp;"10. "&amp;C18)&amp;CHAR(10)&amp;CHAR(10)&amp;"Thank you!")</f>
        <v>Hi there, hope you and the team are well. Before I send the next payment for foundation &amp; footings, please send:
1. Setting-out photo: pegs and strings match the approved plan
2. Trenches with a tape measure showing depth and width
3. Footings poured: photo of every trench
4. Foundation brickwork up to ground level: photo of each side
5. Video walking round the whole foundation
6. Receipts: cement, sand, stone, bricks
Thank you!</v>
      </c>
    </row>
    <row r="23" customFormat="false" ht="15" hidden="false" customHeight="false" outlineLevel="0" collapsed="false">
      <c r="B23" s="3" t="s">
        <v>155</v>
      </c>
    </row>
    <row r="24" customFormat="false" ht="61.5" hidden="false" customHeight="true" outlineLevel="0" collapsed="false">
      <c r="B24" s="37" t="s">
        <v>156</v>
      </c>
      <c r="C24" s="36" t="str">
        <f aca="false">"Hi "&amp;IF(Project!$B$6="","there",Project!$B$6)&amp;", before we start, here's how I'll handle payments so we're always clear. For each stage I'll send you a short list of photos, a video and receipts. Once I have them, I send the money for the next stage the same day. It's the same for every stage and everyone I work with. Is that OK with you?"</f>
        <v>Hi there, before we start, here's how I'll handle payments so we're always clear. For each stage I'll send you a short list of photos, a video and receipts. Once I have them, I send the money for the next stage the same day. It's the same for every stage and everyone I work with. Is that OK with you?</v>
      </c>
    </row>
    <row r="25" customFormat="false" ht="61.5" hidden="false" customHeight="true" outlineLevel="0" collapsed="false">
      <c r="B25" s="37" t="s">
        <v>157</v>
      </c>
      <c r="C25" s="36" t="str">
        <f aca="false">"Hi "&amp;IF(Project!$B$6="","there",Project!$B$6)&amp;", just checking in on the photos and video for "&amp;LOWER(C6)&amp;". I'm ready to send the next payment as soon as they come through."</f>
        <v>Hi there, just checking in on the photos and video for foundation &amp; footings. I'm ready to send the next payment as soon as they come through.</v>
      </c>
    </row>
    <row r="26" customFormat="false" ht="61.5" hidden="false" customHeight="true" outlineLevel="0" collapsed="false">
      <c r="B26" s="37" t="s">
        <v>158</v>
      </c>
      <c r="C26" s="36" t="str">
        <f aca="false">"Hi "&amp;IF(Project!$B$6="","there",Project!$B$6)&amp;", thanks for the update. I'm still missing a few items for "&amp;LOWER(C6)&amp;" (see my list above). I'll release the payment as soon as they're in, so we keep to the agreed system."</f>
        <v>Hi there, thanks for the update. I'm still missing a few items for foundation &amp; footings (see my list above). I'll release the payment as soon as they're in, so we keep to the agreed system.</v>
      </c>
    </row>
    <row r="27" customFormat="false" ht="61.5" hidden="false" customHeight="true" outlineLevel="0" collapsed="false">
      <c r="B27" s="37" t="s">
        <v>159</v>
      </c>
      <c r="C27" s="36" t="str">
        <f aca="false">"Hi "&amp;IF(Project!$B$6="","there",Project!$B$6)&amp;", understood. Please send the supplier's quote or receipt showing the new price. Once I see it, I'll update the budget and we can agree the new amount."</f>
        <v>Hi there, understood. Please send the supplier's quote or receipt showing the new price. Once I see it, I'll update the budget and we can agree the new amount.</v>
      </c>
    </row>
    <row r="28" customFormat="false" ht="61.5" hidden="false" customHeight="true" outlineLevel="0" collapsed="false">
      <c r="B28" s="37" t="s">
        <v>160</v>
      </c>
      <c r="C28" s="36" t="str">
        <f aca="false">"Hi, thank you so much for keeping an eye on the build, it means a lot. To keep things simple and fair for everyone, I'm using the same system for every stage: photos, a short video and receipts before each payment. Could you help me get these for "&amp;LOWER(C6)&amp;"?"</f>
        <v>Hi, thank you so much for keeping an eye on the build, it means a lot. To keep things simple and fair for everyone, I'm using the same system for every stage: photos, a short video and receipts before each payment. Could you help me get these for foundation &amp; footings?</v>
      </c>
    </row>
    <row r="29" customFormat="false" ht="61.5" hidden="false" customHeight="true" outlineLevel="0" collapsed="false">
      <c r="B29" s="37" t="s">
        <v>161</v>
      </c>
      <c r="C29" s="36" t="str">
        <f aca="false">"Hi "&amp;IF(Project!$B$6="","there",Project!$B$6)&amp;", I've sent the payment for "&amp;LOWER(C6)&amp;" today. Please confirm when you receive it. Thank you for the good work!"</f>
        <v>Hi there, I've sent the payment for foundation &amp; footings today. Please confirm when you receive it. Thank you for the good work!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44"/>
  </cols>
  <sheetData>
    <row r="1" customFormat="false" ht="22.0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5" customFormat="false" ht="30" hidden="false" customHeight="true" outlineLevel="0" collapsed="false">
      <c r="B5" s="18" t="s">
        <v>95</v>
      </c>
      <c r="C5" s="18" t="s">
        <v>164</v>
      </c>
      <c r="D5" s="18" t="s">
        <v>165</v>
      </c>
    </row>
    <row r="6" customFormat="false" ht="30" hidden="false" customHeight="true" outlineLevel="0" collapsed="false">
      <c r="B6" s="36" t="s">
        <v>166</v>
      </c>
      <c r="C6" s="23" t="s">
        <v>105</v>
      </c>
      <c r="D6" s="38"/>
    </row>
    <row r="7" customFormat="false" ht="30" hidden="false" customHeight="true" outlineLevel="0" collapsed="false">
      <c r="B7" s="36" t="s">
        <v>167</v>
      </c>
      <c r="C7" s="23" t="s">
        <v>105</v>
      </c>
      <c r="D7" s="38"/>
    </row>
    <row r="8" customFormat="false" ht="30" hidden="false" customHeight="true" outlineLevel="0" collapsed="false">
      <c r="B8" s="36" t="s">
        <v>168</v>
      </c>
      <c r="C8" s="23" t="s">
        <v>105</v>
      </c>
      <c r="D8" s="38"/>
    </row>
    <row r="9" customFormat="false" ht="30" hidden="false" customHeight="true" outlineLevel="0" collapsed="false">
      <c r="B9" s="36" t="s">
        <v>169</v>
      </c>
      <c r="C9" s="23" t="s">
        <v>105</v>
      </c>
      <c r="D9" s="38"/>
    </row>
    <row r="10" customFormat="false" ht="30" hidden="false" customHeight="true" outlineLevel="0" collapsed="false">
      <c r="B10" s="36" t="s">
        <v>170</v>
      </c>
      <c r="C10" s="23" t="s">
        <v>105</v>
      </c>
      <c r="D10" s="38"/>
    </row>
    <row r="11" customFormat="false" ht="18" hidden="false" customHeight="true" outlineLevel="0" collapsed="false">
      <c r="B11" s="36" t="s">
        <v>171</v>
      </c>
      <c r="C11" s="23" t="s">
        <v>105</v>
      </c>
      <c r="D11" s="38"/>
    </row>
    <row r="12" customFormat="false" ht="30" hidden="false" customHeight="true" outlineLevel="0" collapsed="false">
      <c r="B12" s="36" t="s">
        <v>172</v>
      </c>
      <c r="C12" s="23" t="s">
        <v>105</v>
      </c>
      <c r="D12" s="38"/>
    </row>
    <row r="13" customFormat="false" ht="30" hidden="false" customHeight="true" outlineLevel="0" collapsed="false">
      <c r="B13" s="36" t="s">
        <v>173</v>
      </c>
      <c r="C13" s="23" t="s">
        <v>105</v>
      </c>
      <c r="D13" s="38"/>
    </row>
    <row r="14" customFormat="false" ht="30" hidden="false" customHeight="true" outlineLevel="0" collapsed="false">
      <c r="B14" s="36" t="s">
        <v>174</v>
      </c>
      <c r="C14" s="23" t="s">
        <v>105</v>
      </c>
      <c r="D14" s="38"/>
    </row>
    <row r="15" customFormat="false" ht="30" hidden="false" customHeight="true" outlineLevel="0" collapsed="false">
      <c r="B15" s="36" t="s">
        <v>175</v>
      </c>
      <c r="C15" s="23" t="s">
        <v>105</v>
      </c>
      <c r="D15" s="38"/>
    </row>
    <row r="16" customFormat="false" ht="30" hidden="false" customHeight="true" outlineLevel="0" collapsed="false">
      <c r="B16" s="36" t="s">
        <v>176</v>
      </c>
      <c r="C16" s="23" t="s">
        <v>105</v>
      </c>
      <c r="D16" s="38"/>
    </row>
    <row r="17" customFormat="false" ht="30" hidden="false" customHeight="true" outlineLevel="0" collapsed="false">
      <c r="B17" s="36" t="s">
        <v>177</v>
      </c>
      <c r="C17" s="23" t="s">
        <v>105</v>
      </c>
      <c r="D17" s="38"/>
    </row>
    <row r="19" customFormat="false" ht="15" hidden="false" customHeight="false" outlineLevel="0" collapsed="false">
      <c r="B19" s="12" t="s">
        <v>178</v>
      </c>
      <c r="C19" s="22" t="str">
        <f aca="false">COUNTIF(C6:C17,"Yes")&amp;" of 12"</f>
        <v>0 of 12</v>
      </c>
    </row>
    <row r="21" customFormat="false" ht="15" hidden="false" customHeight="false" outlineLevel="0" collapsed="false">
      <c r="B21" s="3" t="s">
        <v>179</v>
      </c>
    </row>
    <row r="22" customFormat="false" ht="15" hidden="false" customHeight="false" outlineLevel="0" collapsed="false">
      <c r="B22" s="5" t="s">
        <v>180</v>
      </c>
    </row>
    <row r="23" customFormat="false" ht="15" hidden="false" customHeight="false" outlineLevel="0" collapsed="false">
      <c r="B23" s="5" t="s">
        <v>181</v>
      </c>
    </row>
    <row r="24" customFormat="false" ht="15" hidden="false" customHeight="false" outlineLevel="0" collapsed="false">
      <c r="B24" s="5" t="s">
        <v>182</v>
      </c>
    </row>
    <row r="25" customFormat="false" ht="15" hidden="false" customHeight="false" outlineLevel="0" collapsed="false">
      <c r="B25" s="5" t="s">
        <v>183</v>
      </c>
    </row>
    <row r="26" customFormat="false" ht="15" hidden="false" customHeight="false" outlineLevel="0" collapsed="false">
      <c r="B26" s="5" t="s">
        <v>184</v>
      </c>
    </row>
    <row r="27" customFormat="false" ht="15" hidden="false" customHeight="false" outlineLevel="0" collapsed="false">
      <c r="B27" s="5" t="s">
        <v>185</v>
      </c>
    </row>
    <row r="28" customFormat="false" ht="15" hidden="false" customHeight="false" outlineLevel="0" collapsed="false">
      <c r="B28" s="5" t="s">
        <v>186</v>
      </c>
    </row>
    <row r="29" customFormat="false" ht="23.85" hidden="false" customHeight="false" outlineLevel="0" collapsed="false">
      <c r="B29" s="5" t="s">
        <v>187</v>
      </c>
    </row>
  </sheetData>
  <conditionalFormatting sqref="C6:C17">
    <cfRule type="expression" priority="2" aboveAverage="0" equalAverage="0" bottom="0" percent="0" rank="0" text="" dxfId="4">
      <formula>$C6="Yes"</formula>
    </cfRule>
  </conditionalFormatting>
  <dataValidations count="1">
    <dataValidation allowBlank="true" errorStyle="stop" operator="between" showDropDown="false" showErrorMessage="false" showInputMessage="false" sqref="C6:C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2026-10-07T19:43:58Z</dcterms:created>
  <dc:creator>openpyxl</dc:creator>
  <dc:description/>
  <dc:language>en-US</dc:language>
  <cp:lastModifiedBy/>
  <dcterms:modified xsi:type="dcterms:W3CDTF">2026-10-07T19:43:58Z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